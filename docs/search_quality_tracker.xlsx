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How to use" sheetId="1" state="visible" r:id="rId3"/>
    <sheet name="Test Log" sheetId="2" state="visible" r:id="rId4"/>
    <sheet name="Summar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<sst xmlns="http://schemas.openxmlformats.org/spreadsheetml/2006/main" count="349" uniqueCount="198">
  <si>
    <t xml:space="preserve">Search Quality Tracker</t>
  </si>
  <si>
    <t xml:space="preserve">Run the same questions after every change to see which kinds of questions it helped.</t>
  </si>
  <si>
    <t xml:space="preserve">Each round</t>
  </si>
  <si>
    <t xml:space="preserve">1. Run every question on the Test Log sheet and look at the top 5 talks.</t>
  </si>
  <si>
    <t xml:space="preserve">2. Relevant (0–5): how many of those 5 talks would actually help answer the question.</t>
  </si>
  <si>
    <t xml:space="preserve">3. Best found? Y/N: if you know a great talk for the question (Known best talk column), did it appear in the top 5? Leave blank if you don't know one.</t>
  </si>
  <si>
    <t xml:space="preserve">4. Notes: anything odd — duplicates, off-topic results, a great surprise find.</t>
  </si>
  <si>
    <t xml:space="preserve">5. The Summary sheet updates automatically.</t>
  </si>
  <si>
    <t xml:space="preserve">Which cells to edit</t>
  </si>
  <si>
    <t xml:space="preserve">Yellow cells are for you to fill in. Everything else is labels or formulas.</t>
  </si>
  <si>
    <t xml:space="preserve">Blank rows at the bottom of the Test Log are for your own questions — pick a category from the dropdown.</t>
  </si>
  <si>
    <t xml:space="preserve">Rename a round by editing its name in row 1 of the Test Log (the Summary follows).</t>
  </si>
  <si>
    <t xml:space="preserve">Example row (format only — not real results)</t>
  </si>
  <si>
    <t xml:space="preserve">Category</t>
  </si>
  <si>
    <t xml:space="preserve">Question</t>
  </si>
  <si>
    <t xml:space="preserve">Known best talk</t>
  </si>
  <si>
    <t xml:space="preserve">Relevant (0–5)</t>
  </si>
  <si>
    <t xml:space="preserve">Best found?</t>
  </si>
  <si>
    <t xml:space="preserve">Notes</t>
  </si>
  <si>
    <t xml:space="preserve">Life questions</t>
  </si>
  <si>
    <t xml:space="preserve">How do I cope with grief after losing someone I love?</t>
  </si>
  <si>
    <t xml:space="preserve">(a talk you already know helps)</t>
  </si>
  <si>
    <t xml:space="preserve">N</t>
  </si>
  <si>
    <t xml:space="preserve">2 results were the same talk; one was about missionary work</t>
  </si>
  <si>
    <t xml:space="preserve">#</t>
  </si>
  <si>
    <t xml:space="preserve">Known best talk (optional)</t>
  </si>
  <si>
    <t xml:space="preserve">Baseline (sentences)</t>
  </si>
  <si>
    <t xml:space="preserve">1. Group by talk</t>
  </si>
  <si>
    <t xml:space="preserve">2. Better chunks + headers</t>
  </si>
  <si>
    <t xml:space="preserve">3. Talk summaries</t>
  </si>
  <si>
    <t xml:space="preserve">4. Hybrid search (RRF)</t>
  </si>
  <si>
    <t xml:space="preserve">5. Reranker</t>
  </si>
  <si>
    <t xml:space="preserve">Best found? (Y/N)</t>
  </si>
  <si>
    <t xml:space="preserve">How can I find peace when life feels overwhelming?</t>
  </si>
  <si>
    <t xml:space="preserve">Overcome the World and Find Rest — Nelson (Oct 2022)</t>
  </si>
  <si>
    <t xml:space="preserve">Y</t>
  </si>
  <si>
    <t xml:space="preserve">Top 5: Nelson Overcome (#1), Alonso, Muñoz Spannaus, Freeman, Cook. Cook's 'Peaceable Followers' is about peace with others, only partial. Nelson talk appeared twice.</t>
  </si>
  <si>
    <t xml:space="preserve">Same 5 talks, same order. Nelson and Alonso each had 4 matching passages.</t>
  </si>
  <si>
    <t xml:space="preserve">New finds: Eyring 'Finding Personal Peace' (#1) and Cook 'Personal Peace in Challenging Times'. But Nelson 'Overcome the World' dropped out and Stevenson 'Peacemakers' (peace with others) came in. Similarity now ~40% — longer chunks score lower.</t>
  </si>
  <si>
    <t xml:space="preserve">No keyword matches (long question), yet results differ from round 2: rebuilding the IVFFlat index changed which chunks it searches (probes = 1). Douglas, Christofferson 'Look to God and Live', Eyring 'Steady in the Storms' fit.</t>
  </si>
  <si>
    <t xml:space="preserve">The Grave Has No Victory — Aburto (Apr 2021)</t>
  </si>
  <si>
    <t xml:space="preserve">Relevant: Bassett 'After the Fourth Day', Aburto (#4). Nelson 'The Lord Jesus Christ Will Come Again' matched one grief sentence but talk is about the Second Coming; Kopischke (mental health) and Nelson 'What We Are Learning' are only partly about loss.</t>
  </si>
  <si>
    <t xml:space="preserve">Same 5 talks. Aburto (8 passages) moved up to #3, but Nelson's Second Coming talk stays #1 on one strong sentence.</t>
  </si>
  <si>
    <t xml:space="preserve">Aburto now #1. New: Eyring 'Comfort from the Holy Ghost', Palmer 'Our Sorrow Shall Be Turned into Joy'. Nelson Second Coming talk gone.</t>
  </si>
  <si>
    <t xml:space="preserve">Same as round 2 (semantic only).</t>
  </si>
  <si>
    <t xml:space="preserve">I feel like I'm never good enough. What should I do?</t>
  </si>
  <si>
    <t xml:space="preserve">Worthiness Is Not Flawlessness — Wilcox (Oct 2021)</t>
  </si>
  <si>
    <t xml:space="preserve">Relevant: Olsen 'The Answer Is Jesus', Hirst 'God's Favourite', Eyre 'Know Who You Really Are'. #1 Cook and #2 Newman matched the word 'inadequate' about teaching/callings, not self-worth.</t>
  </si>
  <si>
    <t xml:space="preserve">Uchtdorf 'Strength of Parents' (4 passages) pushed out Eyre 'Know Who You Really Are'. Slightly worse.</t>
  </si>
  <si>
    <t xml:space="preserve">Big improvement: Wilcox (best talk) now #1, plus Stanfill 'Imperfect Harvest', Hirst, Dunn 'One Percent Better'.</t>
  </si>
  <si>
    <t xml:space="preserve">Wilcox still #1. Christofferson 'Doctrine of Belonging' replaced Dunn.</t>
  </si>
  <si>
    <t xml:space="preserve">How can I strengthen my relationship with God when I feel far away?</t>
  </si>
  <si>
    <t xml:space="preserve">Drawing Closer to the Savior — Andersen (Oct 2022)</t>
  </si>
  <si>
    <t xml:space="preserve">Eyring 'Draw Near unto Me', Kacher 'Ladder of Faith', Phillips 'God Knows and Loves You', Eyring 'Simple Is the Doctrine' all fit. Muñoz Spannaus only partial.</t>
  </si>
  <si>
    <t xml:space="preserve">Worse: talks with many 'faith' passages (Nelson 'Christ Is Risen' 13, Roman 5) jumped ahead. Eyring 'Draw Near' fell from #1 to #5; Phillips dropped out.</t>
  </si>
  <si>
    <t xml:space="preserve">Christofferson 'Our Relationship with God', Johnson 'Be Reconciled to God', Roman fit. Andersen still missing.</t>
  </si>
  <si>
    <t xml:space="preserve">Semantic only. Eyre, Johnson, Teixeira 'Remember Your Way Back Home' fit.</t>
  </si>
  <si>
    <t xml:space="preserve">How do I forgive someone who hurt me and isn't sorry?</t>
  </si>
  <si>
    <t xml:space="preserve">Beauty for Ashes: The Healing Path of Forgiveness — Yee (Oct 2022)</t>
  </si>
  <si>
    <t xml:space="preserve">Yee #1 (great). Nelson 'Spiritual Momentum' has a forgiveness section. Others are about being forgiven of your own sins (Nattress, Dushku), not forgiving others.</t>
  </si>
  <si>
    <t xml:space="preserve">Gong 'Happy and Forever' (7) and Andersen 'Atoning Love' (9) entered on volume, not topic. Yee still #1.</t>
  </si>
  <si>
    <t xml:space="preserve">Yee #1. Kearon 'He Is Risen' (healing from harm by others) is new and fits. Others are about being forgiven.</t>
  </si>
  <si>
    <t xml:space="preserve">Same as round 2.</t>
  </si>
  <si>
    <t xml:space="preserve">I keep making the same mistake. Is it too late for me to change?</t>
  </si>
  <si>
    <t xml:space="preserve">Jesus Christ and Your New Beginning — Kearon (Oct 2025)</t>
  </si>
  <si>
    <t xml:space="preserve">Kearon #1. Eyre and Porter returned the exact same sentence (one quotes the other). Uchtdorf 'Daily Restoration' fits; 'Strength of Youth' only partial.</t>
  </si>
  <si>
    <t xml:space="preserve">Same 5 talks.</t>
  </si>
  <si>
    <t xml:space="preserve">Wilcox (relapsing) and Whiting 'Second Temptation' are strong new fits, but Kearon 'New Beginning' dropped out. Low similarity (~28%).</t>
  </si>
  <si>
    <t xml:space="preserve">How do I deal with doubts or unanswered questions about my faith?</t>
  </si>
  <si>
    <t xml:space="preserve">Seeking Answers to Spiritual Questions — Browning (Oct 2024)</t>
  </si>
  <si>
    <t xml:space="preserve">Relevant: Oaks 'Gospel Is for All', Homer 'Trusting Our Father', Uchtdorf 'Nourish the Roots'. Uchtdorf 'Empty Tomb' partial; Dennis 'Cheering Each Other On' off-topic.</t>
  </si>
  <si>
    <t xml:space="preserve">Douglas 'Spiritual Hurricanes' replaced off-topic Dennis. Small improvement in the 5th slot.</t>
  </si>
  <si>
    <t xml:space="preserve">Oaks still #1; Eyring 'Faith to Ask' and Douglas fit. Homer and Uchtdorf 'Nourish the Roots' dropped out.</t>
  </si>
  <si>
    <t xml:space="preserve">Keyword hits on 'doubt'/'faith' moved Uchtdorf 'Nourish the Roots' to #1 (good); Lebethoa only partial.</t>
  </si>
  <si>
    <t xml:space="preserve">How can I strengthen my marriage?</t>
  </si>
  <si>
    <t xml:space="preserve">Eternal Marriage Is an Eternal Journey — Andersen (Apr 2026)</t>
  </si>
  <si>
    <t xml:space="preserve">Results drift to 'family' instead of 'marriage'. Only Soares 'In Partnership with the Lord' and Oaks 'Family-Centered Gospel' help. Best talk missing despite the title match.</t>
  </si>
  <si>
    <t xml:space="preserve">Still drifts to family talks — now with lots of passages (Oaks 16, Uchtdorf 17). Andersen marriage talk still missing.</t>
  </si>
  <si>
    <t xml:space="preserve">Improved: Andersen 'Eternal Marriage' (best talk) finally appears (#2). Carpenter partly fits; the rest are off-topic.</t>
  </si>
  <si>
    <t xml:space="preserve">Worse: keyword matches on 'strengthen' + 'marriage' pulled in a tithing talk and pushed out Andersen 'Eternal Marriage'. Keyword noise.</t>
  </si>
  <si>
    <t xml:space="preserve">How do I handle anxiety about the future?</t>
  </si>
  <si>
    <t xml:space="preserve">Weak: similarity only 37–39%. Held 'Opposition in All Things' and Villanueva (worry quote) partly fit; Roman, Meredith, Godoy matched the word 'future'. No clear best talk on anxiety in this data.</t>
  </si>
  <si>
    <t xml:space="preserve">Same 5 talks, same weak similarity.</t>
  </si>
  <si>
    <t xml:space="preserve">Improved: Eyring 'Steady in the Storms', Gong 'All Things for Our Good', Holland 'Fear Not' — about fear and trust, not just the word 'future'.</t>
  </si>
  <si>
    <t xml:space="preserve">Semantic only; similar quality to round 2.</t>
  </si>
  <si>
    <t xml:space="preserve">I feel lonely and like I don't belong at church.</t>
  </si>
  <si>
    <t xml:space="preserve">No One Sits Alone — Gong (Oct 2025)</t>
  </si>
  <si>
    <t xml:space="preserve">Gong #1 at 68% (great). Cook 'Just Keep Going' and Christofferson 'Doctrine of Belonging' fit; Cordon and Kopischke partial.</t>
  </si>
  <si>
    <t xml:space="preserve">Gilbert 'Come Home' (7) is new and fits, but Christofferson 'Doctrine of Belonging' dropped out.</t>
  </si>
  <si>
    <t xml:space="preserve">Strong set of belonging stories (Johnson, Uchtdorf, Lund, Gilbert 'Come Home'), but Gong 'No One Sits Alone' dropped out.</t>
  </si>
  <si>
    <t xml:space="preserve">Christofferson 'Belonging' back; Gong still missing.</t>
  </si>
  <si>
    <t xml:space="preserve">Paraphrase</t>
  </si>
  <si>
    <t xml:space="preserve">How do I know when God is talking to me?</t>
  </si>
  <si>
    <t xml:space="preserve">A Framework for Personal Revelation — Renlund (Oct 2022)</t>
  </si>
  <si>
    <t xml:space="preserve">Stevenson 'Nourishing and Bearing Your Testimony' and Nelson 'What Is True?' partly fit. Others (Think Celestial, Yee, Gong) matched single 'listen/trust' sentences. Best talk on revelation missing.</t>
  </si>
  <si>
    <t xml:space="preserve">Rasband 'Words Matter' replaced Nelson 'What Is True?'. Slightly worse.</t>
  </si>
  <si>
    <t xml:space="preserve">Eyring 'Faith to Ask' (still, small voice) and Pieper 'Trust in the Lord' are new fits. Renlund still missing.</t>
  </si>
  <si>
    <t xml:space="preserve">Keyword hits on 'God'/'talk' style words; Bednar 'Be Still' and Koch fit. Renlund still missing.</t>
  </si>
  <si>
    <t xml:space="preserve">Why does God let bad things happen to good people?</t>
  </si>
  <si>
    <t xml:space="preserve">Infuriating Unfairness — Renlund (Apr 2021)</t>
  </si>
  <si>
    <t xml:space="preserve">Eyring 'Fear Not', Renlund (#2), Christofferson 'Our Relationship with God', Oaks 'Divine Helps' all fit. McCune off-topic.</t>
  </si>
  <si>
    <t xml:space="preserve">All 5 address suffering (Gong, Christofferson, Perkins, Hales 'Mortality Works!', Runia). Renlund dropped out but the set is better.</t>
  </si>
  <si>
    <t xml:space="preserve">Egbo's 'bad things happen to good people' passage is now #1 (exact phrase). All 5 fit.</t>
  </si>
  <si>
    <t xml:space="preserve">What's the point of going to church every week?</t>
  </si>
  <si>
    <t xml:space="preserve">The Need for a Church — Oaks (Oct 2021)</t>
  </si>
  <si>
    <t xml:space="preserve">Strong: Christofferson 'Belonging', Kearon 'Church of Joy' (sacrament), Oaks (#4), Aburto. Wong partial. One duplicate talk.</t>
  </si>
  <si>
    <t xml:space="preserve">Same 5 talks. Oaks 'Need for a Church' has 14 passages.</t>
  </si>
  <si>
    <t xml:space="preserve">Worse: drifted to habits (prayer, scripture). Only Chigbundu (sacrament) clearly fits. Oaks 'Need for a Church' dropped out.</t>
  </si>
  <si>
    <t xml:space="preserve">Oaks 'Need for a Church' is back, but Gong (temple) and Schmeil don't fit.</t>
  </si>
  <si>
    <t xml:space="preserve">How can I help a friend who stopped coming to church?</t>
  </si>
  <si>
    <t xml:space="preserve">The Lord Jesus Christ Teaches Us to Minister — Uceda (Apr 2023)</t>
  </si>
  <si>
    <t xml:space="preserve">Matches are stories about people who stopped attending. Cordon, Gilbert, Uceda help; Andersen 'Name of the Church' and Godoy only share words.</t>
  </si>
  <si>
    <t xml:space="preserve">Oaks 'Need for a Church' replaced Andersen 'Name of the Church'. Same score.</t>
  </si>
  <si>
    <t xml:space="preserve">Worse: results speak TO people who left (Gilbert 'Come Home', Palmer 'Return unto Me') rather than how to help a friend. Uceda dropped out.</t>
  </si>
  <si>
    <t xml:space="preserve">Still speaks to people who left. A keyword-only mission talk (Douglas) adds noise.</t>
  </si>
  <si>
    <t xml:space="preserve">Topic</t>
  </si>
  <si>
    <t xml:space="preserve">Talks about the temple and covenants</t>
  </si>
  <si>
    <t xml:space="preserve">All Will Be Well Because of Temple Covenants — Eyring (Apr 2024)</t>
  </si>
  <si>
    <t xml:space="preserve">All five are about temple covenants. Best result of the test set.</t>
  </si>
  <si>
    <t xml:space="preserve">Same 5 talks, all about temple covenants.</t>
  </si>
  <si>
    <t xml:space="preserve">All 5 about temple covenants; Nelson 'The Temple and Your Spiritual Foundation' new at 66%.</t>
  </si>
  <si>
    <t xml:space="preserve">All 5 found by both meaning and keywords.</t>
  </si>
  <si>
    <t xml:space="preserve">Talks about the Savior's grace and Atonement</t>
  </si>
  <si>
    <t xml:space="preserve">The Atoning Love of Jesus Christ — Andersen (Oct 2025)</t>
  </si>
  <si>
    <t xml:space="preserve">Three results (Amos, Nelson, Waddell) are the exact same quoted sentence — duplicates crowd out other talks. Cook 'Be One with Christ' fits.</t>
  </si>
  <si>
    <t xml:space="preserve">Same talks; the duplicated quote no longer repeats, but the same 5 still fill the top. Andersen still missing.</t>
  </si>
  <si>
    <t xml:space="preserve">Big improvement: Andersen 'Atoning Love' (best talk) now #1; all 5 are Atonement talks. Duplicate-quote problem gone.</t>
  </si>
  <si>
    <t xml:space="preserve">Same strong set; Andersen #1.</t>
  </si>
  <si>
    <t xml:space="preserve">Talks about the Book of Mormon</t>
  </si>
  <si>
    <t xml:space="preserve">The Book of Mormon—an Immeasurable Treasure on Our Journey — Farias (Oct 2025)</t>
  </si>
  <si>
    <t xml:space="preserve">Matches are short sentences that just say 'the Book of Mormon' (e.g. 'We have the Book of Mormon.'). Farias fits; Ballard, Silva, Bednar, Rasband are mostly about other topics.</t>
  </si>
  <si>
    <t xml:space="preserve">Improved: Pace 'It Is Wisdom in the Lord That We Should Have the Book of Mormon' (8) appeared; Rasband 'This Day' has 18 passages.</t>
  </si>
  <si>
    <t xml:space="preserve">Improved: Farias #1, Cook 'Sacred Scriptures', Pace. Short 'We have the Book of Mormon.' matches gone.</t>
  </si>
  <si>
    <t xml:space="preserve">Best yet: all 5 are about the Book of Mormon (Bednar on Mormon's record replaced the weakest).</t>
  </si>
  <si>
    <t xml:space="preserve">Talks about joy</t>
  </si>
  <si>
    <t xml:space="preserve">A Higher Joy — Uchtdorf (Apr 2024)</t>
  </si>
  <si>
    <t xml:space="preserve">Christensen, Uchtdorf 'A Higher Joy', Egbo fit. 'Do Your Part' and Casillas only mention joy. 2 duplicates.</t>
  </si>
  <si>
    <t xml:space="preserve">A Higher Joy (14 passages) moved to #2. Kearon 'Church of Joy' replaced Casillas.</t>
  </si>
  <si>
    <t xml:space="preserve">Improved: Christensen, 'A Higher Joy', Yee, Kearon, Hall — all about joy.</t>
  </si>
  <si>
    <t xml:space="preserve">All 5 about joy (Taylor 'Swallowed Up in the Joy of Christ' new), but 'A Higher Joy' dropped out.</t>
  </si>
  <si>
    <t xml:space="preserve">Exact names &amp; phrases</t>
  </si>
  <si>
    <t xml:space="preserve">Talks that discuss Ether 12:27</t>
  </si>
  <si>
    <t xml:space="preserve">“Then Will I Make Weak Things Become Strong” — Hamilton (Apr 2022)</t>
  </si>
  <si>
    <t xml:space="preserve">Total miss (25–31%): matched the word 'talk' ('Let them talk about it'). Embeddings don't understand scripture references — needs hybrid/keyword search.</t>
  </si>
  <si>
    <t xml:space="preserve">Still a total miss (25–31%).</t>
  </si>
  <si>
    <t xml:space="preserve">Still a total miss.</t>
  </si>
  <si>
    <t xml:space="preserve">Keyword search found Schmeil — the only talk quoting 'Ether 12:27' — at #2. Hamilton's talk on the same verse doesn't cite it by reference.</t>
  </si>
  <si>
    <t xml:space="preserve">Talks that mention the Liahona</t>
  </si>
  <si>
    <t xml:space="preserve">Deepening Our Conversion to Jesus Christ — Valenzuela (Oct 2021)</t>
  </si>
  <si>
    <t xml:space="preserve">Only Valenzuela (#1) mentions the Liahona. Others matched 'Book of Mormon' context. Ojediran's talk mentions it 3x but didn't appear.</t>
  </si>
  <si>
    <t xml:space="preserve">Valenzuela #1. Bednar now appears twice with different talks. Ojediran still missing.</t>
  </si>
  <si>
    <t xml:space="preserve">Worse: Valenzuela (the Liahona talk) dropped out; results are general Book of Mormon talks. A rare word gets diluted in a long chunk.</t>
  </si>
  <si>
    <t xml:space="preserve">Fixed: all 5 mention the Liahona (keyword hits), Valenzuela back.</t>
  </si>
  <si>
    <t xml:space="preserve">Think celestial</t>
  </si>
  <si>
    <t xml:space="preserve">Think Celestial! — Nelson (Oct 2023)</t>
  </si>
  <si>
    <t xml:space="preserve">Nelson #1. Others matched 'celestial' or 'step back' loosely.</t>
  </si>
  <si>
    <t xml:space="preserve">Worse: Nelson 'Think Celestial!' dropped out completely. Short exact phrases get diluted in long chunks — needs keyword/hybrid search.</t>
  </si>
  <si>
    <t xml:space="preserve">Fixed: 'Think Celestial!' back at #1; Nelson 'Rejoice in the Gift of Priesthood Keys' also uses the phrase.</t>
  </si>
  <si>
    <t xml:space="preserve">What has Elder Uchtdorf taught about grace?</t>
  </si>
  <si>
    <t xml:space="preserve">No talk by Uchtdorf in top 5 — results are other speakers quoting him. Stanfill 'Imperfect Harvest' (grace, quotes Uchtdorf) partial. No Uchtdorf talk in the data focuses on grace. Needs speaker filtering.</t>
  </si>
  <si>
    <t xml:space="preserve">Still no Uchtdorf talk.</t>
  </si>
  <si>
    <t xml:space="preserve">Big improvement: the header worked — 3 Uchtdorf talks in the top 3 (God among Us, Do Your Part, Our Heartfelt All), though none is mainly about grace.</t>
  </si>
  <si>
    <t xml:space="preserve">3 Uchtdorf talks plus Wilcox quoting Elder Uchtdorf on grace (keyword hit) — good.</t>
  </si>
  <si>
    <t xml:space="preserve">Speaker or date</t>
  </si>
  <si>
    <t xml:space="preserve">Talks from October 2024 about the Savior</t>
  </si>
  <si>
    <t xml:space="preserve">The Lord Jesus Christ Will Come Again — Nelson (Oct 2024)</t>
  </si>
  <si>
    <t xml:space="preserve">None of the 5 are from Oct 2024 (2021, 2026, 2025, 2022, 2025). Search can't filter by date yet.</t>
  </si>
  <si>
    <t xml:space="preserve">Still none from Oct 2024.</t>
  </si>
  <si>
    <t xml:space="preserve">Slightly better: Yee (Oct 2024) appears. Header helps a little with dates but can't filter. Nelson Oct 2024 still missing.</t>
  </si>
  <si>
    <t xml:space="preserve">Big improvement: 4 of 5 are from October 2024 (date is in the keyword column), including Nelson 'The Lord Jesus Christ Will Come Again'.</t>
  </si>
  <si>
    <t xml:space="preserve">President Nelson on the gathering of Israel</t>
  </si>
  <si>
    <t xml:space="preserve">Preaching the Gospel of Peace — Nelson (Apr 2022)</t>
  </si>
  <si>
    <t xml:space="preserve">High similarity (65–72%) but none are by Nelson — all are other speakers quoting him on gathering Israel. Useful content, wrong speaker.</t>
  </si>
  <si>
    <t xml:space="preserve">Still none by Nelson.</t>
  </si>
  <si>
    <t xml:space="preserve">Big improvement: 3 Nelson talks now, including 'Preaching the Gospel of Peace' (best talk). The header put the speaker into the embedding.</t>
  </si>
  <si>
    <t xml:space="preserve">Both best Nelson talks still there; Rasband talks (mentioning Nelson) took 2 slots.</t>
  </si>
  <si>
    <t xml:space="preserve">Edge cases</t>
  </si>
  <si>
    <t xml:space="preserve">hope</t>
  </si>
  <si>
    <t xml:space="preserve">The Triumph of Hope — Andersen (Oct 2024)</t>
  </si>
  <si>
    <t xml:space="preserve">Andersen #1. Johnson and Ballard fit; Andersen's marriage talk and Wright ('Waiting for a miracle') don't.</t>
  </si>
  <si>
    <t xml:space="preserve">Improved: Gong 'All Things for Our Good' and Schmitt replaced Andersen's marriage talk and Wright.</t>
  </si>
  <si>
    <t xml:space="preserve">Worse: only Andersen 'Triumph of Hope' fits clearly; a one-word query matches long chunks weakly (~31–44%).</t>
  </si>
  <si>
    <t xml:space="preserve">Andersen #1; Kim (Moroni 7 on hope) and Eyring fit.</t>
  </si>
  <si>
    <t xml:space="preserve">I've had a really rough few months. Work is stressful, I feel like I'm failing at everything, I don't feel the Spirit like I used to, and honestly I'm not sure God even notices me anymore. What should I do?</t>
  </si>
  <si>
    <t xml:space="preserve">Good for a long question: Runia, Phillips 'God Knows and Loves You', Craig 'Wholehearted', Freeman 'Best Days and Worst Days' fit. Kacher partial.</t>
  </si>
  <si>
    <t xml:space="preserve">Nelson 'Christ Is Risen' (8 passages) replaced Phillips. Same score.</t>
  </si>
  <si>
    <t xml:space="preserve">Ochoa 'Is the Plan Working?', Christofferson, Douglas fit. Lost Runia, Craig, Freeman.</t>
  </si>
  <si>
    <t xml:space="preserve">Semantic only. Craig 'Wholehearted' back; Ochoa, Christofferson, Perkins fit.</t>
  </si>
  <si>
    <t xml:space="preserve">How do I change a car tire?</t>
  </si>
  <si>
    <t xml:space="preserve">Correctly irrelevant (25–31% similarity) — matched car stories. But the site still shows 20 results; there's no minimum-similarity cutoff.</t>
  </si>
  <si>
    <t xml:space="preserve">Still irrelevant (25–31%), still always shows results.</t>
  </si>
  <si>
    <t xml:space="preserve">Still irrelevant, but similarity dropped to 15–22% — a clearer gap from real results (a cutoff around 25–30% would now hide these).</t>
  </si>
  <si>
    <t xml:space="preserve">Semantic only; still 15–22%. No keyword noise.</t>
  </si>
  <si>
    <t xml:space="preserve">Search Quality Summary</t>
  </si>
  <si>
    <t xml:space="preserve">Calculated from the Test Log. Blank until you score a round. Higher is better.</t>
  </si>
  <si>
    <t xml:space="preserve">Average relevant talks in top 5 (out of 5)</t>
  </si>
  <si>
    <t xml:space="preserve">All questions</t>
  </si>
  <si>
    <t xml:space="preserve">Best talk found (% of questions where you named one)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</si>
</sst>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"/>
    <numFmt numFmtId="166" formatCode="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i val="true"/>
      <sz val="11"/>
      <color rgb="FF595959"/>
      <name val="Arial"/>
      <family val="0"/>
      <charset val="1"/>
    </font>
    <font>
      <b val="true"/>
      <sz val="12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595959"/>
      <name val="Arial"/>
      <family val="0"/>
      <charset val="1"/>
    </font>
    <font>
      <b val="true"/>
      <sz val="11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FFFFFF"/>
      </patternFill>
    </fill>
    <fill>
      <patternFill patternType="solid">
        <fgColor rgb="FFD9E1F2"/>
        <bgColor rgb="FFF2F2F2"/>
      </patternFill>
    </fill>
    <fill>
      <patternFill patternType="solid">
        <fgColor rgb="FFFFF2CC"/>
        <bgColor rgb="FFF2F2F2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/>
      <right style="thin">
        <color rgb="FFBFBFBF"/>
      </right>
      <top/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0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0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C6EFCE"/>
        </patternFill>
      </fill>
    </dxf>
    <dxf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40"/>
    <col collapsed="false" customWidth="true" hidden="false" outlineLevel="0" max="3" min="3" style="1" width="28"/>
    <col collapsed="false" customWidth="true" hidden="false" outlineLevel="0" max="4" min="4" style="1" width="14"/>
    <col collapsed="false" customWidth="true" hidden="false" outlineLevel="0" max="5" min="5" style="1" width="12"/>
    <col collapsed="false" customWidth="true" hidden="false" outlineLevel="0" max="6" min="6" style="1" width="40"/>
  </cols>
  <sheetData>
    <row r="1" customFormat="false" ht="19.5" hidden="false" customHeight="true" outlineLevel="0" collapsed="false">
      <c r="A1" s="2" t="s">
        <v>0</v>
      </c>
      <c r="B1" s="2"/>
      <c r="C1" s="2"/>
      <c r="D1" s="2"/>
      <c r="E1" s="2"/>
      <c r="F1" s="2"/>
    </row>
    <row r="2" customFormat="false" ht="15" hidden="false" customHeight="true" outlineLevel="0" collapsed="false">
      <c r="A2" s="3" t="s">
        <v>1</v>
      </c>
      <c r="B2" s="3"/>
      <c r="C2" s="3"/>
      <c r="D2" s="3"/>
      <c r="E2" s="3"/>
      <c r="F2" s="3"/>
    </row>
    <row r="3" customFormat="false" ht="30" hidden="false" customHeight="true" outlineLevel="0" collapsed="false">
      <c r="A3" s="4"/>
      <c r="B3" s="4"/>
      <c r="C3" s="4"/>
      <c r="D3" s="4"/>
      <c r="E3" s="4"/>
      <c r="F3" s="4"/>
    </row>
    <row r="4" customFormat="false" ht="15" hidden="false" customHeight="true" outlineLevel="0" collapsed="false">
      <c r="A4" s="5" t="s">
        <v>2</v>
      </c>
      <c r="B4" s="5"/>
      <c r="C4" s="5"/>
      <c r="D4" s="5"/>
      <c r="E4" s="5"/>
      <c r="F4" s="5"/>
    </row>
    <row r="5" customFormat="false" ht="15" hidden="false" customHeight="true" outlineLevel="0" collapsed="false">
      <c r="A5" s="6" t="s">
        <v>3</v>
      </c>
      <c r="B5" s="6"/>
      <c r="C5" s="6"/>
      <c r="D5" s="6"/>
      <c r="E5" s="6"/>
      <c r="F5" s="6"/>
    </row>
    <row r="6" customFormat="false" ht="15" hidden="false" customHeight="true" outlineLevel="0" collapsed="false">
      <c r="A6" s="6" t="s">
        <v>4</v>
      </c>
      <c r="B6" s="6"/>
      <c r="C6" s="6"/>
      <c r="D6" s="6"/>
      <c r="E6" s="6"/>
      <c r="F6" s="6"/>
    </row>
    <row r="7" customFormat="false" ht="30" hidden="false" customHeight="true" outlineLevel="0" collapsed="false">
      <c r="A7" s="6" t="s">
        <v>5</v>
      </c>
      <c r="B7" s="6"/>
      <c r="C7" s="6"/>
      <c r="D7" s="6"/>
      <c r="E7" s="6"/>
      <c r="F7" s="6"/>
    </row>
    <row r="8" customFormat="false" ht="15" hidden="false" customHeight="true" outlineLevel="0" collapsed="false">
      <c r="A8" s="6" t="s">
        <v>6</v>
      </c>
      <c r="B8" s="6"/>
      <c r="C8" s="6"/>
      <c r="D8" s="6"/>
      <c r="E8" s="6"/>
      <c r="F8" s="6"/>
    </row>
    <row r="9" customFormat="false" ht="15" hidden="false" customHeight="true" outlineLevel="0" collapsed="false">
      <c r="A9" s="6" t="s">
        <v>7</v>
      </c>
      <c r="B9" s="6"/>
      <c r="C9" s="6"/>
      <c r="D9" s="6"/>
      <c r="E9" s="6"/>
      <c r="F9" s="6"/>
    </row>
    <row r="10" customFormat="false" ht="15" hidden="false" customHeight="true" outlineLevel="0" collapsed="false">
      <c r="A10" s="4"/>
      <c r="B10" s="4"/>
      <c r="C10" s="4"/>
      <c r="D10" s="4"/>
      <c r="E10" s="4"/>
      <c r="F10" s="4"/>
    </row>
    <row r="11" customFormat="false" ht="15" hidden="false" customHeight="true" outlineLevel="0" collapsed="false">
      <c r="A11" s="5" t="s">
        <v>8</v>
      </c>
      <c r="B11" s="5"/>
      <c r="C11" s="5"/>
      <c r="D11" s="5"/>
      <c r="E11" s="5"/>
      <c r="F11" s="5"/>
    </row>
    <row r="12" customFormat="false" ht="15" hidden="false" customHeight="true" outlineLevel="0" collapsed="false">
      <c r="A12" s="6" t="s">
        <v>9</v>
      </c>
      <c r="B12" s="6"/>
      <c r="C12" s="6"/>
      <c r="D12" s="6"/>
      <c r="E12" s="6"/>
      <c r="F12" s="6"/>
    </row>
    <row r="13" customFormat="false" ht="30" hidden="false" customHeight="true" outlineLevel="0" collapsed="false">
      <c r="A13" s="6" t="s">
        <v>10</v>
      </c>
      <c r="B13" s="6"/>
      <c r="C13" s="6"/>
      <c r="D13" s="6"/>
      <c r="E13" s="6"/>
      <c r="F13" s="6"/>
    </row>
    <row r="14" customFormat="false" ht="15" hidden="false" customHeight="true" outlineLevel="0" collapsed="false">
      <c r="A14" s="6" t="s">
        <v>11</v>
      </c>
      <c r="B14" s="6"/>
      <c r="C14" s="6"/>
      <c r="D14" s="6"/>
      <c r="E14" s="6"/>
      <c r="F14" s="6"/>
    </row>
    <row r="15" customFormat="false" ht="15" hidden="false" customHeight="true" outlineLevel="0" collapsed="false">
      <c r="A15" s="4"/>
      <c r="B15" s="4"/>
      <c r="C15" s="4"/>
      <c r="D15" s="4"/>
      <c r="E15" s="4"/>
      <c r="F15" s="4"/>
    </row>
    <row r="16" customFormat="false" ht="15" hidden="false" customHeight="true" outlineLevel="0" collapsed="false">
      <c r="A16" s="5" t="s">
        <v>12</v>
      </c>
      <c r="B16" s="5"/>
      <c r="C16" s="5"/>
      <c r="D16" s="5"/>
      <c r="E16" s="5"/>
      <c r="F16" s="5"/>
    </row>
    <row r="17" customFormat="false" ht="26.25" hidden="false" customHeight="true" outlineLevel="0" collapsed="false">
      <c r="A17" s="7" t="s">
        <v>13</v>
      </c>
      <c r="B17" s="7" t="s">
        <v>14</v>
      </c>
      <c r="C17" s="7" t="s">
        <v>15</v>
      </c>
      <c r="D17" s="7" t="s">
        <v>16</v>
      </c>
      <c r="E17" s="7" t="s">
        <v>17</v>
      </c>
      <c r="F17" s="7" t="s">
        <v>18</v>
      </c>
    </row>
    <row r="18" customFormat="false" ht="26.25" hidden="false" customHeight="true" outlineLevel="0" collapsed="false">
      <c r="A18" s="8" t="s">
        <v>19</v>
      </c>
      <c r="B18" s="8" t="s">
        <v>20</v>
      </c>
      <c r="C18" s="8" t="s">
        <v>21</v>
      </c>
      <c r="D18" s="8" t="n">
        <v>3</v>
      </c>
      <c r="E18" s="8" t="s">
        <v>22</v>
      </c>
      <c r="F18" s="8" t="s">
        <v>23</v>
      </c>
    </row>
  </sheetData>
  <mergeCells count="16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A10:F10"/>
    <mergeCell ref="A11:F11"/>
    <mergeCell ref="A12:F12"/>
    <mergeCell ref="A13:F13"/>
    <mergeCell ref="A14:F14"/>
    <mergeCell ref="A15:F15"/>
    <mergeCell ref="A16:F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3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E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20"/>
    <col collapsed="false" customWidth="true" hidden="false" outlineLevel="0" max="3" min="3" style="1" width="48"/>
    <col collapsed="false" customWidth="true" hidden="false" outlineLevel="0" max="4" min="4" style="1" width="26"/>
    <col collapsed="false" customWidth="true" hidden="false" outlineLevel="0" max="6" min="5" style="1" width="10"/>
    <col collapsed="false" customWidth="true" hidden="false" outlineLevel="0" max="7" min="7" style="1" width="28"/>
    <col collapsed="false" customWidth="true" hidden="false" outlineLevel="0" max="9" min="8" style="1" width="10"/>
    <col collapsed="false" customWidth="true" hidden="false" outlineLevel="0" max="10" min="10" style="1" width="28"/>
    <col collapsed="false" customWidth="true" hidden="false" outlineLevel="0" max="12" min="11" style="1" width="10"/>
    <col collapsed="false" customWidth="true" hidden="false" outlineLevel="0" max="13" min="13" style="1" width="28"/>
    <col collapsed="false" customWidth="true" hidden="false" outlineLevel="0" max="15" min="14" style="1" width="10"/>
    <col collapsed="false" customWidth="true" hidden="false" outlineLevel="0" max="16" min="16" style="1" width="28"/>
    <col collapsed="false" customWidth="true" hidden="false" outlineLevel="0" max="18" min="17" style="1" width="10"/>
    <col collapsed="false" customWidth="true" hidden="false" outlineLevel="0" max="19" min="19" style="1" width="28"/>
    <col collapsed="false" customWidth="true" hidden="false" outlineLevel="0" max="21" min="20" style="1" width="10"/>
    <col collapsed="false" customWidth="true" hidden="false" outlineLevel="0" max="22" min="22" style="1" width="28"/>
  </cols>
  <sheetData>
    <row r="1" customFormat="false" ht="15" hidden="false" customHeight="true" outlineLevel="0" collapsed="false">
      <c r="A1" s="9" t="s">
        <v>24</v>
      </c>
      <c r="B1" s="9" t="s">
        <v>13</v>
      </c>
      <c r="C1" s="9" t="s">
        <v>14</v>
      </c>
      <c r="D1" s="9" t="s">
        <v>25</v>
      </c>
      <c r="E1" s="10" t="s">
        <v>26</v>
      </c>
      <c r="F1" s="10"/>
      <c r="G1" s="10"/>
      <c r="H1" s="10" t="s">
        <v>27</v>
      </c>
      <c r="I1" s="10"/>
      <c r="J1" s="10"/>
      <c r="K1" s="10" t="s">
        <v>28</v>
      </c>
      <c r="L1" s="10"/>
      <c r="M1" s="10"/>
      <c r="N1" s="10" t="s">
        <v>29</v>
      </c>
      <c r="O1" s="10"/>
      <c r="P1" s="10"/>
      <c r="Q1" s="10" t="s">
        <v>30</v>
      </c>
      <c r="R1" s="10"/>
      <c r="S1" s="10"/>
      <c r="T1" s="10" t="s">
        <v>31</v>
      </c>
      <c r="U1" s="10"/>
      <c r="V1" s="10"/>
    </row>
    <row r="2" customFormat="false" ht="31.5" hidden="false" customHeight="true" outlineLevel="0" collapsed="false">
      <c r="A2" s="9"/>
      <c r="B2" s="9"/>
      <c r="C2" s="9"/>
      <c r="D2" s="9"/>
      <c r="E2" s="11" t="s">
        <v>16</v>
      </c>
      <c r="F2" s="11" t="s">
        <v>32</v>
      </c>
      <c r="G2" s="11" t="s">
        <v>18</v>
      </c>
      <c r="H2" s="11" t="s">
        <v>16</v>
      </c>
      <c r="I2" s="11" t="s">
        <v>32</v>
      </c>
      <c r="J2" s="11" t="s">
        <v>18</v>
      </c>
      <c r="K2" s="11" t="s">
        <v>16</v>
      </c>
      <c r="L2" s="11" t="s">
        <v>32</v>
      </c>
      <c r="M2" s="11" t="s">
        <v>18</v>
      </c>
      <c r="N2" s="11" t="s">
        <v>16</v>
      </c>
      <c r="O2" s="11" t="s">
        <v>32</v>
      </c>
      <c r="P2" s="11" t="s">
        <v>18</v>
      </c>
      <c r="Q2" s="11" t="s">
        <v>16</v>
      </c>
      <c r="R2" s="11" t="s">
        <v>32</v>
      </c>
      <c r="S2" s="11" t="s">
        <v>18</v>
      </c>
      <c r="T2" s="11" t="s">
        <v>16</v>
      </c>
      <c r="U2" s="11" t="s">
        <v>32</v>
      </c>
      <c r="V2" s="11" t="s">
        <v>18</v>
      </c>
    </row>
    <row r="3" customFormat="false" ht="26.25" hidden="false" customHeight="true" outlineLevel="0" collapsed="false">
      <c r="A3" s="12" t="n">
        <v>1</v>
      </c>
      <c r="B3" s="13" t="s">
        <v>19</v>
      </c>
      <c r="C3" s="13" t="s">
        <v>33</v>
      </c>
      <c r="D3" s="14" t="s">
        <v>34</v>
      </c>
      <c r="E3" s="15" t="n">
        <v>4</v>
      </c>
      <c r="F3" s="15" t="s">
        <v>35</v>
      </c>
      <c r="G3" s="16" t="s">
        <v>36</v>
      </c>
      <c r="H3" s="15" t="n">
        <v>4</v>
      </c>
      <c r="I3" s="15" t="s">
        <v>35</v>
      </c>
      <c r="J3" s="16" t="s">
        <v>37</v>
      </c>
      <c r="K3" s="15" t="n">
        <v>3</v>
      </c>
      <c r="L3" s="15" t="s">
        <v>22</v>
      </c>
      <c r="M3" s="16" t="s">
        <v>38</v>
      </c>
      <c r="N3" s="15"/>
      <c r="O3" s="15"/>
      <c r="P3" s="16"/>
      <c r="Q3" s="15" t="n">
        <v>3</v>
      </c>
      <c r="R3" s="15" t="s">
        <v>22</v>
      </c>
      <c r="S3" s="16" t="s">
        <v>39</v>
      </c>
      <c r="T3" s="15"/>
      <c r="U3" s="15"/>
      <c r="V3" s="16"/>
    </row>
    <row r="4" customFormat="false" ht="26.25" hidden="false" customHeight="true" outlineLevel="0" collapsed="false">
      <c r="A4" s="12" t="n">
        <v>2</v>
      </c>
      <c r="B4" s="13" t="s">
        <v>19</v>
      </c>
      <c r="C4" s="13" t="s">
        <v>20</v>
      </c>
      <c r="D4" s="14" t="s">
        <v>40</v>
      </c>
      <c r="E4" s="15" t="n">
        <v>2</v>
      </c>
      <c r="F4" s="15" t="s">
        <v>35</v>
      </c>
      <c r="G4" s="16" t="s">
        <v>41</v>
      </c>
      <c r="H4" s="15" t="n">
        <v>2</v>
      </c>
      <c r="I4" s="15" t="s">
        <v>35</v>
      </c>
      <c r="J4" s="16" t="s">
        <v>42</v>
      </c>
      <c r="K4" s="15" t="n">
        <v>3</v>
      </c>
      <c r="L4" s="15" t="s">
        <v>35</v>
      </c>
      <c r="M4" s="16" t="s">
        <v>43</v>
      </c>
      <c r="N4" s="15"/>
      <c r="O4" s="15"/>
      <c r="P4" s="16"/>
      <c r="Q4" s="15" t="n">
        <v>3</v>
      </c>
      <c r="R4" s="15" t="s">
        <v>35</v>
      </c>
      <c r="S4" s="16" t="s">
        <v>44</v>
      </c>
      <c r="T4" s="15"/>
      <c r="U4" s="15"/>
      <c r="V4" s="16"/>
    </row>
    <row r="5" customFormat="false" ht="26.25" hidden="false" customHeight="true" outlineLevel="0" collapsed="false">
      <c r="A5" s="12" t="n">
        <v>3</v>
      </c>
      <c r="B5" s="13" t="s">
        <v>19</v>
      </c>
      <c r="C5" s="13" t="s">
        <v>45</v>
      </c>
      <c r="D5" s="14" t="s">
        <v>46</v>
      </c>
      <c r="E5" s="15" t="n">
        <v>3</v>
      </c>
      <c r="F5" s="15" t="s">
        <v>22</v>
      </c>
      <c r="G5" s="16" t="s">
        <v>47</v>
      </c>
      <c r="H5" s="15" t="n">
        <v>2</v>
      </c>
      <c r="I5" s="15" t="s">
        <v>22</v>
      </c>
      <c r="J5" s="16" t="s">
        <v>48</v>
      </c>
      <c r="K5" s="15" t="n">
        <v>4</v>
      </c>
      <c r="L5" s="15" t="s">
        <v>35</v>
      </c>
      <c r="M5" s="16" t="s">
        <v>49</v>
      </c>
      <c r="N5" s="15"/>
      <c r="O5" s="15"/>
      <c r="P5" s="16"/>
      <c r="Q5" s="15" t="n">
        <v>4</v>
      </c>
      <c r="R5" s="15" t="s">
        <v>35</v>
      </c>
      <c r="S5" s="16" t="s">
        <v>50</v>
      </c>
      <c r="T5" s="15"/>
      <c r="U5" s="15"/>
      <c r="V5" s="16"/>
    </row>
    <row r="6" customFormat="false" ht="26.25" hidden="false" customHeight="true" outlineLevel="0" collapsed="false">
      <c r="A6" s="12" t="n">
        <v>4</v>
      </c>
      <c r="B6" s="13" t="s">
        <v>19</v>
      </c>
      <c r="C6" s="13" t="s">
        <v>51</v>
      </c>
      <c r="D6" s="14" t="s">
        <v>52</v>
      </c>
      <c r="E6" s="15" t="n">
        <v>4</v>
      </c>
      <c r="F6" s="15" t="s">
        <v>22</v>
      </c>
      <c r="G6" s="16" t="s">
        <v>53</v>
      </c>
      <c r="H6" s="15" t="n">
        <v>3</v>
      </c>
      <c r="I6" s="15" t="s">
        <v>22</v>
      </c>
      <c r="J6" s="16" t="s">
        <v>54</v>
      </c>
      <c r="K6" s="15" t="n">
        <v>3</v>
      </c>
      <c r="L6" s="15" t="s">
        <v>22</v>
      </c>
      <c r="M6" s="16" t="s">
        <v>55</v>
      </c>
      <c r="N6" s="15"/>
      <c r="O6" s="15"/>
      <c r="P6" s="16"/>
      <c r="Q6" s="15" t="n">
        <v>3</v>
      </c>
      <c r="R6" s="15" t="s">
        <v>22</v>
      </c>
      <c r="S6" s="16" t="s">
        <v>56</v>
      </c>
      <c r="T6" s="15"/>
      <c r="U6" s="15"/>
      <c r="V6" s="16"/>
    </row>
    <row r="7" customFormat="false" ht="26.25" hidden="false" customHeight="true" outlineLevel="0" collapsed="false">
      <c r="A7" s="12" t="n">
        <v>5</v>
      </c>
      <c r="B7" s="13" t="s">
        <v>19</v>
      </c>
      <c r="C7" s="13" t="s">
        <v>57</v>
      </c>
      <c r="D7" s="14" t="s">
        <v>58</v>
      </c>
      <c r="E7" s="15" t="n">
        <v>2</v>
      </c>
      <c r="F7" s="15" t="s">
        <v>35</v>
      </c>
      <c r="G7" s="16" t="s">
        <v>59</v>
      </c>
      <c r="H7" s="15" t="n">
        <v>2</v>
      </c>
      <c r="I7" s="15" t="s">
        <v>35</v>
      </c>
      <c r="J7" s="16" t="s">
        <v>60</v>
      </c>
      <c r="K7" s="15" t="n">
        <v>2</v>
      </c>
      <c r="L7" s="15" t="s">
        <v>35</v>
      </c>
      <c r="M7" s="16" t="s">
        <v>61</v>
      </c>
      <c r="N7" s="15"/>
      <c r="O7" s="15"/>
      <c r="P7" s="16"/>
      <c r="Q7" s="15" t="n">
        <v>2</v>
      </c>
      <c r="R7" s="15" t="s">
        <v>35</v>
      </c>
      <c r="S7" s="16" t="s">
        <v>62</v>
      </c>
      <c r="T7" s="15"/>
      <c r="U7" s="15"/>
      <c r="V7" s="16"/>
    </row>
    <row r="8" customFormat="false" ht="26.25" hidden="false" customHeight="true" outlineLevel="0" collapsed="false">
      <c r="A8" s="12" t="n">
        <v>6</v>
      </c>
      <c r="B8" s="13" t="s">
        <v>19</v>
      </c>
      <c r="C8" s="13" t="s">
        <v>63</v>
      </c>
      <c r="D8" s="14" t="s">
        <v>64</v>
      </c>
      <c r="E8" s="15" t="n">
        <v>4</v>
      </c>
      <c r="F8" s="15" t="s">
        <v>35</v>
      </c>
      <c r="G8" s="16" t="s">
        <v>65</v>
      </c>
      <c r="H8" s="15" t="n">
        <v>4</v>
      </c>
      <c r="I8" s="15" t="s">
        <v>35</v>
      </c>
      <c r="J8" s="16" t="s">
        <v>66</v>
      </c>
      <c r="K8" s="15" t="n">
        <v>4</v>
      </c>
      <c r="L8" s="15" t="s">
        <v>22</v>
      </c>
      <c r="M8" s="16" t="s">
        <v>67</v>
      </c>
      <c r="N8" s="15"/>
      <c r="O8" s="15"/>
      <c r="P8" s="16"/>
      <c r="Q8" s="15" t="n">
        <v>4</v>
      </c>
      <c r="R8" s="15" t="s">
        <v>22</v>
      </c>
      <c r="S8" s="16" t="s">
        <v>62</v>
      </c>
      <c r="T8" s="15"/>
      <c r="U8" s="15"/>
      <c r="V8" s="16"/>
    </row>
    <row r="9" customFormat="false" ht="26.25" hidden="false" customHeight="true" outlineLevel="0" collapsed="false">
      <c r="A9" s="12" t="n">
        <v>7</v>
      </c>
      <c r="B9" s="13" t="s">
        <v>19</v>
      </c>
      <c r="C9" s="13" t="s">
        <v>68</v>
      </c>
      <c r="D9" s="14" t="s">
        <v>69</v>
      </c>
      <c r="E9" s="15" t="n">
        <v>3</v>
      </c>
      <c r="F9" s="15" t="s">
        <v>22</v>
      </c>
      <c r="G9" s="16" t="s">
        <v>70</v>
      </c>
      <c r="H9" s="15" t="n">
        <v>3</v>
      </c>
      <c r="I9" s="15" t="s">
        <v>22</v>
      </c>
      <c r="J9" s="16" t="s">
        <v>71</v>
      </c>
      <c r="K9" s="15" t="n">
        <v>3</v>
      </c>
      <c r="L9" s="15" t="s">
        <v>22</v>
      </c>
      <c r="M9" s="16" t="s">
        <v>72</v>
      </c>
      <c r="N9" s="15"/>
      <c r="O9" s="15"/>
      <c r="P9" s="16"/>
      <c r="Q9" s="15" t="n">
        <v>3</v>
      </c>
      <c r="R9" s="15" t="s">
        <v>22</v>
      </c>
      <c r="S9" s="16" t="s">
        <v>73</v>
      </c>
      <c r="T9" s="15"/>
      <c r="U9" s="15"/>
      <c r="V9" s="16"/>
    </row>
    <row r="10" customFormat="false" ht="15" hidden="false" customHeight="true" outlineLevel="0" collapsed="false">
      <c r="A10" s="12" t="n">
        <v>8</v>
      </c>
      <c r="B10" s="13" t="s">
        <v>19</v>
      </c>
      <c r="C10" s="13" t="s">
        <v>74</v>
      </c>
      <c r="D10" s="14" t="s">
        <v>75</v>
      </c>
      <c r="E10" s="15" t="n">
        <v>2</v>
      </c>
      <c r="F10" s="15" t="s">
        <v>22</v>
      </c>
      <c r="G10" s="16" t="s">
        <v>76</v>
      </c>
      <c r="H10" s="15" t="n">
        <v>2</v>
      </c>
      <c r="I10" s="15" t="s">
        <v>22</v>
      </c>
      <c r="J10" s="16" t="s">
        <v>77</v>
      </c>
      <c r="K10" s="15" t="n">
        <v>2</v>
      </c>
      <c r="L10" s="15" t="s">
        <v>35</v>
      </c>
      <c r="M10" s="16" t="s">
        <v>78</v>
      </c>
      <c r="N10" s="15"/>
      <c r="O10" s="15"/>
      <c r="P10" s="16"/>
      <c r="Q10" s="15" t="n">
        <v>1</v>
      </c>
      <c r="R10" s="15" t="s">
        <v>22</v>
      </c>
      <c r="S10" s="16" t="s">
        <v>79</v>
      </c>
      <c r="T10" s="15"/>
      <c r="U10" s="15"/>
      <c r="V10" s="16"/>
    </row>
    <row r="11" customFormat="false" ht="15" hidden="false" customHeight="true" outlineLevel="0" collapsed="false">
      <c r="A11" s="12" t="n">
        <v>9</v>
      </c>
      <c r="B11" s="13" t="s">
        <v>19</v>
      </c>
      <c r="C11" s="13" t="s">
        <v>80</v>
      </c>
      <c r="D11" s="14"/>
      <c r="E11" s="15" t="n">
        <v>2</v>
      </c>
      <c r="F11" s="15"/>
      <c r="G11" s="16" t="s">
        <v>81</v>
      </c>
      <c r="H11" s="15" t="n">
        <v>2</v>
      </c>
      <c r="I11" s="15"/>
      <c r="J11" s="16" t="s">
        <v>82</v>
      </c>
      <c r="K11" s="15" t="n">
        <v>3</v>
      </c>
      <c r="L11" s="15"/>
      <c r="M11" s="16" t="s">
        <v>83</v>
      </c>
      <c r="N11" s="15"/>
      <c r="O11" s="15"/>
      <c r="P11" s="16"/>
      <c r="Q11" s="15" t="n">
        <v>3</v>
      </c>
      <c r="R11" s="15"/>
      <c r="S11" s="16" t="s">
        <v>84</v>
      </c>
      <c r="T11" s="15"/>
      <c r="U11" s="15"/>
      <c r="V11" s="16"/>
    </row>
    <row r="12" customFormat="false" ht="15" hidden="false" customHeight="true" outlineLevel="0" collapsed="false">
      <c r="A12" s="12" t="n">
        <v>10</v>
      </c>
      <c r="B12" s="13" t="s">
        <v>19</v>
      </c>
      <c r="C12" s="13" t="s">
        <v>85</v>
      </c>
      <c r="D12" s="14" t="s">
        <v>86</v>
      </c>
      <c r="E12" s="15" t="n">
        <v>3</v>
      </c>
      <c r="F12" s="15" t="s">
        <v>35</v>
      </c>
      <c r="G12" s="16" t="s">
        <v>87</v>
      </c>
      <c r="H12" s="15" t="n">
        <v>3</v>
      </c>
      <c r="I12" s="15" t="s">
        <v>35</v>
      </c>
      <c r="J12" s="16" t="s">
        <v>88</v>
      </c>
      <c r="K12" s="15" t="n">
        <v>4</v>
      </c>
      <c r="L12" s="15" t="s">
        <v>22</v>
      </c>
      <c r="M12" s="16" t="s">
        <v>89</v>
      </c>
      <c r="N12" s="15"/>
      <c r="O12" s="15"/>
      <c r="P12" s="16"/>
      <c r="Q12" s="15" t="n">
        <v>3</v>
      </c>
      <c r="R12" s="15" t="s">
        <v>22</v>
      </c>
      <c r="S12" s="16" t="s">
        <v>90</v>
      </c>
      <c r="T12" s="15"/>
      <c r="U12" s="15"/>
      <c r="V12" s="16"/>
    </row>
    <row r="13" customFormat="false" ht="15" hidden="false" customHeight="true" outlineLevel="0" collapsed="false">
      <c r="A13" s="12" t="n">
        <v>11</v>
      </c>
      <c r="B13" s="13" t="s">
        <v>91</v>
      </c>
      <c r="C13" s="13" t="s">
        <v>92</v>
      </c>
      <c r="D13" s="14" t="s">
        <v>93</v>
      </c>
      <c r="E13" s="15" t="n">
        <v>2</v>
      </c>
      <c r="F13" s="15" t="s">
        <v>22</v>
      </c>
      <c r="G13" s="16" t="s">
        <v>94</v>
      </c>
      <c r="H13" s="15" t="n">
        <v>1</v>
      </c>
      <c r="I13" s="15" t="s">
        <v>22</v>
      </c>
      <c r="J13" s="16" t="s">
        <v>95</v>
      </c>
      <c r="K13" s="15" t="n">
        <v>3</v>
      </c>
      <c r="L13" s="15" t="s">
        <v>22</v>
      </c>
      <c r="M13" s="16" t="s">
        <v>96</v>
      </c>
      <c r="N13" s="15"/>
      <c r="O13" s="15"/>
      <c r="P13" s="16"/>
      <c r="Q13" s="15" t="n">
        <v>3</v>
      </c>
      <c r="R13" s="15" t="s">
        <v>22</v>
      </c>
      <c r="S13" s="16" t="s">
        <v>97</v>
      </c>
      <c r="T13" s="15"/>
      <c r="U13" s="15"/>
      <c r="V13" s="16"/>
    </row>
    <row r="14" customFormat="false" ht="26.25" hidden="false" customHeight="true" outlineLevel="0" collapsed="false">
      <c r="A14" s="12" t="n">
        <v>12</v>
      </c>
      <c r="B14" s="13" t="s">
        <v>91</v>
      </c>
      <c r="C14" s="13" t="s">
        <v>98</v>
      </c>
      <c r="D14" s="14" t="s">
        <v>99</v>
      </c>
      <c r="E14" s="15" t="n">
        <v>4</v>
      </c>
      <c r="F14" s="15" t="s">
        <v>35</v>
      </c>
      <c r="G14" s="16" t="s">
        <v>100</v>
      </c>
      <c r="H14" s="15" t="n">
        <v>4</v>
      </c>
      <c r="I14" s="15" t="s">
        <v>35</v>
      </c>
      <c r="J14" s="16" t="s">
        <v>66</v>
      </c>
      <c r="K14" s="15" t="n">
        <v>5</v>
      </c>
      <c r="L14" s="15" t="s">
        <v>22</v>
      </c>
      <c r="M14" s="16" t="s">
        <v>101</v>
      </c>
      <c r="N14" s="15"/>
      <c r="O14" s="15"/>
      <c r="P14" s="16"/>
      <c r="Q14" s="15" t="n">
        <v>5</v>
      </c>
      <c r="R14" s="15" t="s">
        <v>22</v>
      </c>
      <c r="S14" s="16" t="s">
        <v>102</v>
      </c>
      <c r="T14" s="15"/>
      <c r="U14" s="15"/>
      <c r="V14" s="16"/>
    </row>
    <row r="15" customFormat="false" ht="15" hidden="false" customHeight="true" outlineLevel="0" collapsed="false">
      <c r="A15" s="12" t="n">
        <v>13</v>
      </c>
      <c r="B15" s="13" t="s">
        <v>91</v>
      </c>
      <c r="C15" s="13" t="s">
        <v>103</v>
      </c>
      <c r="D15" s="14" t="s">
        <v>104</v>
      </c>
      <c r="E15" s="15" t="n">
        <v>4</v>
      </c>
      <c r="F15" s="15" t="s">
        <v>35</v>
      </c>
      <c r="G15" s="16" t="s">
        <v>105</v>
      </c>
      <c r="H15" s="15" t="n">
        <v>4</v>
      </c>
      <c r="I15" s="15" t="s">
        <v>35</v>
      </c>
      <c r="J15" s="16" t="s">
        <v>106</v>
      </c>
      <c r="K15" s="15" t="n">
        <v>2</v>
      </c>
      <c r="L15" s="15" t="s">
        <v>22</v>
      </c>
      <c r="M15" s="16" t="s">
        <v>107</v>
      </c>
      <c r="N15" s="15"/>
      <c r="O15" s="15"/>
      <c r="P15" s="16"/>
      <c r="Q15" s="15" t="n">
        <v>2</v>
      </c>
      <c r="R15" s="15" t="s">
        <v>35</v>
      </c>
      <c r="S15" s="16" t="s">
        <v>108</v>
      </c>
      <c r="T15" s="15"/>
      <c r="U15" s="15"/>
      <c r="V15" s="16"/>
    </row>
    <row r="16" customFormat="false" ht="26.25" hidden="false" customHeight="true" outlineLevel="0" collapsed="false">
      <c r="A16" s="12" t="n">
        <v>14</v>
      </c>
      <c r="B16" s="13" t="s">
        <v>91</v>
      </c>
      <c r="C16" s="13" t="s">
        <v>109</v>
      </c>
      <c r="D16" s="14" t="s">
        <v>110</v>
      </c>
      <c r="E16" s="15" t="n">
        <v>3</v>
      </c>
      <c r="F16" s="15" t="s">
        <v>35</v>
      </c>
      <c r="G16" s="16" t="s">
        <v>111</v>
      </c>
      <c r="H16" s="15" t="n">
        <v>3</v>
      </c>
      <c r="I16" s="15" t="s">
        <v>35</v>
      </c>
      <c r="J16" s="16" t="s">
        <v>112</v>
      </c>
      <c r="K16" s="15" t="n">
        <v>2</v>
      </c>
      <c r="L16" s="15" t="s">
        <v>22</v>
      </c>
      <c r="M16" s="16" t="s">
        <v>113</v>
      </c>
      <c r="N16" s="15"/>
      <c r="O16" s="15"/>
      <c r="P16" s="16"/>
      <c r="Q16" s="15" t="n">
        <v>2</v>
      </c>
      <c r="R16" s="15" t="s">
        <v>22</v>
      </c>
      <c r="S16" s="16" t="s">
        <v>114</v>
      </c>
      <c r="T16" s="15"/>
      <c r="U16" s="15"/>
      <c r="V16" s="16"/>
    </row>
    <row r="17" customFormat="false" ht="15" hidden="false" customHeight="true" outlineLevel="0" collapsed="false">
      <c r="A17" s="12" t="n">
        <v>15</v>
      </c>
      <c r="B17" s="13" t="s">
        <v>115</v>
      </c>
      <c r="C17" s="13" t="s">
        <v>116</v>
      </c>
      <c r="D17" s="14" t="s">
        <v>117</v>
      </c>
      <c r="E17" s="15" t="n">
        <v>5</v>
      </c>
      <c r="F17" s="15" t="s">
        <v>35</v>
      </c>
      <c r="G17" s="16" t="s">
        <v>118</v>
      </c>
      <c r="H17" s="15" t="n">
        <v>5</v>
      </c>
      <c r="I17" s="15" t="s">
        <v>35</v>
      </c>
      <c r="J17" s="16" t="s">
        <v>119</v>
      </c>
      <c r="K17" s="15" t="n">
        <v>5</v>
      </c>
      <c r="L17" s="15" t="s">
        <v>35</v>
      </c>
      <c r="M17" s="16" t="s">
        <v>120</v>
      </c>
      <c r="N17" s="15"/>
      <c r="O17" s="15"/>
      <c r="P17" s="16"/>
      <c r="Q17" s="15" t="n">
        <v>5</v>
      </c>
      <c r="R17" s="15" t="s">
        <v>35</v>
      </c>
      <c r="S17" s="16" t="s">
        <v>121</v>
      </c>
      <c r="T17" s="15"/>
      <c r="U17" s="15"/>
      <c r="V17" s="16"/>
    </row>
    <row r="18" customFormat="false" ht="15" hidden="false" customHeight="true" outlineLevel="0" collapsed="false">
      <c r="A18" s="12" t="n">
        <v>16</v>
      </c>
      <c r="B18" s="13" t="s">
        <v>115</v>
      </c>
      <c r="C18" s="13" t="s">
        <v>122</v>
      </c>
      <c r="D18" s="14" t="s">
        <v>123</v>
      </c>
      <c r="E18" s="15" t="n">
        <v>3</v>
      </c>
      <c r="F18" s="15" t="s">
        <v>22</v>
      </c>
      <c r="G18" s="16" t="s">
        <v>124</v>
      </c>
      <c r="H18" s="15" t="n">
        <v>3</v>
      </c>
      <c r="I18" s="15" t="s">
        <v>22</v>
      </c>
      <c r="J18" s="16" t="s">
        <v>125</v>
      </c>
      <c r="K18" s="15" t="n">
        <v>5</v>
      </c>
      <c r="L18" s="15" t="s">
        <v>35</v>
      </c>
      <c r="M18" s="16" t="s">
        <v>126</v>
      </c>
      <c r="N18" s="15"/>
      <c r="O18" s="15"/>
      <c r="P18" s="16"/>
      <c r="Q18" s="15" t="n">
        <v>5</v>
      </c>
      <c r="R18" s="15" t="s">
        <v>35</v>
      </c>
      <c r="S18" s="16" t="s">
        <v>127</v>
      </c>
      <c r="T18" s="15"/>
      <c r="U18" s="15"/>
      <c r="V18" s="16"/>
    </row>
    <row r="19" customFormat="false" ht="15" hidden="false" customHeight="true" outlineLevel="0" collapsed="false">
      <c r="A19" s="12" t="n">
        <v>17</v>
      </c>
      <c r="B19" s="13" t="s">
        <v>115</v>
      </c>
      <c r="C19" s="13" t="s">
        <v>128</v>
      </c>
      <c r="D19" s="14" t="s">
        <v>129</v>
      </c>
      <c r="E19" s="15" t="n">
        <v>2</v>
      </c>
      <c r="F19" s="15" t="s">
        <v>35</v>
      </c>
      <c r="G19" s="16" t="s">
        <v>130</v>
      </c>
      <c r="H19" s="15" t="n">
        <v>3</v>
      </c>
      <c r="I19" s="15" t="s">
        <v>35</v>
      </c>
      <c r="J19" s="16" t="s">
        <v>131</v>
      </c>
      <c r="K19" s="15" t="n">
        <v>4</v>
      </c>
      <c r="L19" s="15" t="s">
        <v>35</v>
      </c>
      <c r="M19" s="16" t="s">
        <v>132</v>
      </c>
      <c r="N19" s="15"/>
      <c r="O19" s="15"/>
      <c r="P19" s="16"/>
      <c r="Q19" s="15" t="n">
        <v>5</v>
      </c>
      <c r="R19" s="15" t="s">
        <v>35</v>
      </c>
      <c r="S19" s="16" t="s">
        <v>133</v>
      </c>
      <c r="T19" s="15"/>
      <c r="U19" s="15"/>
      <c r="V19" s="16"/>
    </row>
    <row r="20" customFormat="false" ht="15" hidden="false" customHeight="true" outlineLevel="0" collapsed="false">
      <c r="A20" s="12" t="n">
        <v>18</v>
      </c>
      <c r="B20" s="13" t="s">
        <v>115</v>
      </c>
      <c r="C20" s="13" t="s">
        <v>134</v>
      </c>
      <c r="D20" s="14" t="s">
        <v>135</v>
      </c>
      <c r="E20" s="15" t="n">
        <v>3</v>
      </c>
      <c r="F20" s="15" t="s">
        <v>35</v>
      </c>
      <c r="G20" s="16" t="s">
        <v>136</v>
      </c>
      <c r="H20" s="15" t="n">
        <v>3</v>
      </c>
      <c r="I20" s="15" t="s">
        <v>35</v>
      </c>
      <c r="J20" s="16" t="s">
        <v>137</v>
      </c>
      <c r="K20" s="15" t="n">
        <v>4</v>
      </c>
      <c r="L20" s="15" t="s">
        <v>35</v>
      </c>
      <c r="M20" s="16" t="s">
        <v>138</v>
      </c>
      <c r="N20" s="15"/>
      <c r="O20" s="15"/>
      <c r="P20" s="16"/>
      <c r="Q20" s="15" t="n">
        <v>5</v>
      </c>
      <c r="R20" s="15" t="s">
        <v>22</v>
      </c>
      <c r="S20" s="16" t="s">
        <v>139</v>
      </c>
      <c r="T20" s="15"/>
      <c r="U20" s="15"/>
      <c r="V20" s="16"/>
    </row>
    <row r="21" customFormat="false" ht="26.25" hidden="false" customHeight="true" outlineLevel="0" collapsed="false">
      <c r="A21" s="12" t="n">
        <v>19</v>
      </c>
      <c r="B21" s="13" t="s">
        <v>140</v>
      </c>
      <c r="C21" s="13" t="s">
        <v>141</v>
      </c>
      <c r="D21" s="14" t="s">
        <v>142</v>
      </c>
      <c r="E21" s="15" t="n">
        <v>0</v>
      </c>
      <c r="F21" s="15" t="s">
        <v>22</v>
      </c>
      <c r="G21" s="16" t="s">
        <v>143</v>
      </c>
      <c r="H21" s="15" t="n">
        <v>0</v>
      </c>
      <c r="I21" s="15" t="s">
        <v>22</v>
      </c>
      <c r="J21" s="16" t="s">
        <v>144</v>
      </c>
      <c r="K21" s="15" t="n">
        <v>0</v>
      </c>
      <c r="L21" s="15" t="s">
        <v>22</v>
      </c>
      <c r="M21" s="16" t="s">
        <v>145</v>
      </c>
      <c r="N21" s="15"/>
      <c r="O21" s="15"/>
      <c r="P21" s="16"/>
      <c r="Q21" s="15" t="n">
        <v>1</v>
      </c>
      <c r="R21" s="15" t="s">
        <v>22</v>
      </c>
      <c r="S21" s="16" t="s">
        <v>146</v>
      </c>
      <c r="T21" s="15"/>
      <c r="U21" s="15"/>
      <c r="V21" s="16"/>
    </row>
    <row r="22" customFormat="false" ht="26.25" hidden="false" customHeight="true" outlineLevel="0" collapsed="false">
      <c r="A22" s="12" t="n">
        <v>20</v>
      </c>
      <c r="B22" s="13" t="s">
        <v>140</v>
      </c>
      <c r="C22" s="13" t="s">
        <v>147</v>
      </c>
      <c r="D22" s="14" t="s">
        <v>148</v>
      </c>
      <c r="E22" s="15" t="n">
        <v>1</v>
      </c>
      <c r="F22" s="15" t="s">
        <v>35</v>
      </c>
      <c r="G22" s="16" t="s">
        <v>149</v>
      </c>
      <c r="H22" s="15" t="n">
        <v>1</v>
      </c>
      <c r="I22" s="15" t="s">
        <v>35</v>
      </c>
      <c r="J22" s="16" t="s">
        <v>150</v>
      </c>
      <c r="K22" s="15" t="n">
        <v>0</v>
      </c>
      <c r="L22" s="15" t="s">
        <v>22</v>
      </c>
      <c r="M22" s="16" t="s">
        <v>151</v>
      </c>
      <c r="N22" s="15"/>
      <c r="O22" s="15"/>
      <c r="P22" s="16"/>
      <c r="Q22" s="15" t="n">
        <v>5</v>
      </c>
      <c r="R22" s="15" t="s">
        <v>35</v>
      </c>
      <c r="S22" s="16" t="s">
        <v>152</v>
      </c>
      <c r="T22" s="15"/>
      <c r="U22" s="15"/>
      <c r="V22" s="16"/>
    </row>
    <row r="23" customFormat="false" ht="26.25" hidden="false" customHeight="true" outlineLevel="0" collapsed="false">
      <c r="A23" s="12" t="n">
        <v>21</v>
      </c>
      <c r="B23" s="13" t="s">
        <v>140</v>
      </c>
      <c r="C23" s="13" t="s">
        <v>153</v>
      </c>
      <c r="D23" s="14" t="s">
        <v>154</v>
      </c>
      <c r="E23" s="15" t="n">
        <v>1</v>
      </c>
      <c r="F23" s="15" t="s">
        <v>35</v>
      </c>
      <c r="G23" s="16" t="s">
        <v>155</v>
      </c>
      <c r="H23" s="15" t="n">
        <v>1</v>
      </c>
      <c r="I23" s="15" t="s">
        <v>35</v>
      </c>
      <c r="J23" s="16" t="s">
        <v>66</v>
      </c>
      <c r="K23" s="15" t="n">
        <v>0</v>
      </c>
      <c r="L23" s="15" t="s">
        <v>22</v>
      </c>
      <c r="M23" s="16" t="s">
        <v>156</v>
      </c>
      <c r="N23" s="15"/>
      <c r="O23" s="15"/>
      <c r="P23" s="16"/>
      <c r="Q23" s="15" t="n">
        <v>2</v>
      </c>
      <c r="R23" s="15" t="s">
        <v>35</v>
      </c>
      <c r="S23" s="16" t="s">
        <v>157</v>
      </c>
      <c r="T23" s="15"/>
      <c r="U23" s="15"/>
      <c r="V23" s="16"/>
    </row>
    <row r="24" customFormat="false" ht="26.25" hidden="false" customHeight="true" outlineLevel="0" collapsed="false">
      <c r="A24" s="12" t="n">
        <v>22</v>
      </c>
      <c r="B24" s="13" t="s">
        <v>140</v>
      </c>
      <c r="C24" s="13" t="s">
        <v>158</v>
      </c>
      <c r="D24" s="14"/>
      <c r="E24" s="15" t="n">
        <v>1</v>
      </c>
      <c r="F24" s="15"/>
      <c r="G24" s="16" t="s">
        <v>159</v>
      </c>
      <c r="H24" s="15" t="n">
        <v>1</v>
      </c>
      <c r="I24" s="15"/>
      <c r="J24" s="16" t="s">
        <v>160</v>
      </c>
      <c r="K24" s="15" t="n">
        <v>3</v>
      </c>
      <c r="L24" s="15"/>
      <c r="M24" s="16" t="s">
        <v>161</v>
      </c>
      <c r="N24" s="15"/>
      <c r="O24" s="15"/>
      <c r="P24" s="16"/>
      <c r="Q24" s="15" t="n">
        <v>4</v>
      </c>
      <c r="R24" s="15"/>
      <c r="S24" s="16" t="s">
        <v>162</v>
      </c>
      <c r="T24" s="15"/>
      <c r="U24" s="15"/>
      <c r="V24" s="16"/>
    </row>
    <row r="25" customFormat="false" ht="15" hidden="false" customHeight="true" outlineLevel="0" collapsed="false">
      <c r="A25" s="12" t="n">
        <v>23</v>
      </c>
      <c r="B25" s="13" t="s">
        <v>163</v>
      </c>
      <c r="C25" s="13" t="s">
        <v>164</v>
      </c>
      <c r="D25" s="14" t="s">
        <v>165</v>
      </c>
      <c r="E25" s="15" t="n">
        <v>0</v>
      </c>
      <c r="F25" s="15" t="s">
        <v>22</v>
      </c>
      <c r="G25" s="16" t="s">
        <v>166</v>
      </c>
      <c r="H25" s="15" t="n">
        <v>0</v>
      </c>
      <c r="I25" s="15" t="s">
        <v>22</v>
      </c>
      <c r="J25" s="16" t="s">
        <v>167</v>
      </c>
      <c r="K25" s="15" t="n">
        <v>1</v>
      </c>
      <c r="L25" s="15" t="s">
        <v>22</v>
      </c>
      <c r="M25" s="16" t="s">
        <v>168</v>
      </c>
      <c r="N25" s="15"/>
      <c r="O25" s="15"/>
      <c r="P25" s="16"/>
      <c r="Q25" s="15" t="n">
        <v>4</v>
      </c>
      <c r="R25" s="15" t="s">
        <v>35</v>
      </c>
      <c r="S25" s="16" t="s">
        <v>169</v>
      </c>
      <c r="T25" s="15"/>
      <c r="U25" s="15"/>
      <c r="V25" s="16"/>
    </row>
    <row r="26" customFormat="false" ht="15" hidden="false" customHeight="true" outlineLevel="0" collapsed="false">
      <c r="A26" s="12" t="n">
        <v>24</v>
      </c>
      <c r="B26" s="13" t="s">
        <v>163</v>
      </c>
      <c r="C26" s="13" t="s">
        <v>170</v>
      </c>
      <c r="D26" s="14" t="s">
        <v>171</v>
      </c>
      <c r="E26" s="15" t="n">
        <v>3</v>
      </c>
      <c r="F26" s="15" t="s">
        <v>22</v>
      </c>
      <c r="G26" s="16" t="s">
        <v>172</v>
      </c>
      <c r="H26" s="15" t="n">
        <v>3</v>
      </c>
      <c r="I26" s="15" t="s">
        <v>22</v>
      </c>
      <c r="J26" s="16" t="s">
        <v>173</v>
      </c>
      <c r="K26" s="15" t="n">
        <v>3</v>
      </c>
      <c r="L26" s="15" t="s">
        <v>35</v>
      </c>
      <c r="M26" s="16" t="s">
        <v>174</v>
      </c>
      <c r="N26" s="15"/>
      <c r="O26" s="15"/>
      <c r="P26" s="16"/>
      <c r="Q26" s="15" t="n">
        <v>2</v>
      </c>
      <c r="R26" s="15" t="s">
        <v>35</v>
      </c>
      <c r="S26" s="16" t="s">
        <v>175</v>
      </c>
      <c r="T26" s="15"/>
      <c r="U26" s="15"/>
      <c r="V26" s="16"/>
    </row>
    <row r="27" customFormat="false" ht="15" hidden="false" customHeight="true" outlineLevel="0" collapsed="false">
      <c r="A27" s="12" t="n">
        <v>25</v>
      </c>
      <c r="B27" s="13" t="s">
        <v>176</v>
      </c>
      <c r="C27" s="13" t="s">
        <v>177</v>
      </c>
      <c r="D27" s="14" t="s">
        <v>178</v>
      </c>
      <c r="E27" s="15" t="n">
        <v>3</v>
      </c>
      <c r="F27" s="15" t="s">
        <v>35</v>
      </c>
      <c r="G27" s="16" t="s">
        <v>179</v>
      </c>
      <c r="H27" s="15" t="n">
        <v>4</v>
      </c>
      <c r="I27" s="15" t="s">
        <v>35</v>
      </c>
      <c r="J27" s="16" t="s">
        <v>180</v>
      </c>
      <c r="K27" s="15" t="n">
        <v>2</v>
      </c>
      <c r="L27" s="15" t="s">
        <v>35</v>
      </c>
      <c r="M27" s="16" t="s">
        <v>181</v>
      </c>
      <c r="N27" s="15"/>
      <c r="O27" s="15"/>
      <c r="P27" s="16"/>
      <c r="Q27" s="15" t="n">
        <v>3</v>
      </c>
      <c r="R27" s="15" t="s">
        <v>35</v>
      </c>
      <c r="S27" s="16" t="s">
        <v>182</v>
      </c>
      <c r="T27" s="15"/>
      <c r="U27" s="15"/>
      <c r="V27" s="16"/>
    </row>
    <row r="28" customFormat="false" ht="26.25" hidden="false" customHeight="true" outlineLevel="0" collapsed="false">
      <c r="A28" s="12" t="n">
        <v>26</v>
      </c>
      <c r="B28" s="13" t="s">
        <v>176</v>
      </c>
      <c r="C28" s="13" t="s">
        <v>183</v>
      </c>
      <c r="D28" s="14"/>
      <c r="E28" s="15" t="n">
        <v>4</v>
      </c>
      <c r="F28" s="15"/>
      <c r="G28" s="16" t="s">
        <v>184</v>
      </c>
      <c r="H28" s="15" t="n">
        <v>4</v>
      </c>
      <c r="I28" s="15"/>
      <c r="J28" s="16" t="s">
        <v>185</v>
      </c>
      <c r="K28" s="15" t="n">
        <v>3</v>
      </c>
      <c r="L28" s="15"/>
      <c r="M28" s="16" t="s">
        <v>186</v>
      </c>
      <c r="N28" s="15"/>
      <c r="O28" s="15"/>
      <c r="P28" s="16"/>
      <c r="Q28" s="15" t="n">
        <v>4</v>
      </c>
      <c r="R28" s="15"/>
      <c r="S28" s="16" t="s">
        <v>187</v>
      </c>
      <c r="T28" s="15"/>
      <c r="U28" s="15"/>
      <c r="V28" s="16"/>
    </row>
    <row r="29" customFormat="false" ht="15" hidden="false" customHeight="true" outlineLevel="0" collapsed="false">
      <c r="A29" s="12" t="n">
        <v>27</v>
      </c>
      <c r="B29" s="13" t="s">
        <v>176</v>
      </c>
      <c r="C29" s="13" t="s">
        <v>188</v>
      </c>
      <c r="D29" s="14"/>
      <c r="E29" s="15" t="n">
        <v>0</v>
      </c>
      <c r="F29" s="15"/>
      <c r="G29" s="16" t="s">
        <v>189</v>
      </c>
      <c r="H29" s="15" t="n">
        <v>0</v>
      </c>
      <c r="I29" s="15"/>
      <c r="J29" s="16" t="s">
        <v>190</v>
      </c>
      <c r="K29" s="15" t="n">
        <v>0</v>
      </c>
      <c r="L29" s="15"/>
      <c r="M29" s="16" t="s">
        <v>191</v>
      </c>
      <c r="N29" s="15"/>
      <c r="O29" s="15"/>
      <c r="P29" s="16"/>
      <c r="Q29" s="15" t="n">
        <v>0</v>
      </c>
      <c r="R29" s="15"/>
      <c r="S29" s="16" t="s">
        <v>192</v>
      </c>
      <c r="T29" s="15"/>
      <c r="U29" s="15"/>
      <c r="V29" s="16"/>
    </row>
    <row r="30" customFormat="false" ht="15" hidden="false" customHeight="true" outlineLevel="0" collapsed="false">
      <c r="A30" s="12" t="n">
        <v>28</v>
      </c>
      <c r="B30" s="14"/>
      <c r="C30" s="14"/>
      <c r="D30" s="14"/>
      <c r="E30" s="15"/>
      <c r="F30" s="15"/>
      <c r="G30" s="16"/>
      <c r="H30" s="15"/>
      <c r="I30" s="15"/>
      <c r="J30" s="16"/>
      <c r="K30" s="15"/>
      <c r="L30" s="15"/>
      <c r="M30" s="16"/>
      <c r="N30" s="15"/>
      <c r="O30" s="15"/>
      <c r="P30" s="16"/>
      <c r="Q30" s="15"/>
      <c r="R30" s="15"/>
      <c r="S30" s="16"/>
      <c r="T30" s="15"/>
      <c r="U30" s="15"/>
      <c r="V30" s="16"/>
    </row>
    <row r="31" customFormat="false" ht="15" hidden="false" customHeight="true" outlineLevel="0" collapsed="false">
      <c r="A31" s="12" t="n">
        <v>29</v>
      </c>
      <c r="B31" s="14"/>
      <c r="C31" s="14"/>
      <c r="D31" s="14"/>
      <c r="E31" s="15"/>
      <c r="F31" s="15"/>
      <c r="G31" s="16"/>
      <c r="H31" s="15"/>
      <c r="I31" s="15"/>
      <c r="J31" s="16"/>
      <c r="K31" s="15"/>
      <c r="L31" s="15"/>
      <c r="M31" s="16"/>
      <c r="N31" s="15"/>
      <c r="O31" s="15"/>
      <c r="P31" s="16"/>
      <c r="Q31" s="15"/>
      <c r="R31" s="15"/>
      <c r="S31" s="16"/>
      <c r="T31" s="15"/>
      <c r="U31" s="15"/>
      <c r="V31" s="16"/>
    </row>
    <row r="32" customFormat="false" ht="15" hidden="false" customHeight="true" outlineLevel="0" collapsed="false">
      <c r="A32" s="12" t="n">
        <v>30</v>
      </c>
      <c r="B32" s="14"/>
      <c r="C32" s="14"/>
      <c r="D32" s="14"/>
      <c r="E32" s="15"/>
      <c r="F32" s="15"/>
      <c r="G32" s="16"/>
      <c r="H32" s="15"/>
      <c r="I32" s="15"/>
      <c r="J32" s="16"/>
      <c r="K32" s="15"/>
      <c r="L32" s="15"/>
      <c r="M32" s="16"/>
      <c r="N32" s="15"/>
      <c r="O32" s="15"/>
      <c r="P32" s="16"/>
      <c r="Q32" s="15"/>
      <c r="R32" s="15"/>
      <c r="S32" s="16"/>
      <c r="T32" s="15"/>
      <c r="U32" s="15"/>
      <c r="V32" s="16"/>
    </row>
    <row r="33" customFormat="false" ht="15" hidden="false" customHeight="true" outlineLevel="0" collapsed="false">
      <c r="A33" s="12" t="n">
        <v>31</v>
      </c>
      <c r="B33" s="14"/>
      <c r="C33" s="14"/>
      <c r="D33" s="14"/>
      <c r="E33" s="15"/>
      <c r="F33" s="15"/>
      <c r="G33" s="16"/>
      <c r="H33" s="15"/>
      <c r="I33" s="15"/>
      <c r="J33" s="16"/>
      <c r="K33" s="15"/>
      <c r="L33" s="15"/>
      <c r="M33" s="16"/>
      <c r="N33" s="15"/>
      <c r="O33" s="15"/>
      <c r="P33" s="16"/>
      <c r="Q33" s="15"/>
      <c r="R33" s="15"/>
      <c r="S33" s="16"/>
      <c r="T33" s="15"/>
      <c r="U33" s="15"/>
      <c r="V33" s="16"/>
    </row>
    <row r="34" customFormat="false" ht="15" hidden="false" customHeight="true" outlineLevel="0" collapsed="false">
      <c r="A34" s="12" t="n">
        <v>32</v>
      </c>
      <c r="B34" s="14"/>
      <c r="C34" s="14"/>
      <c r="D34" s="14"/>
      <c r="E34" s="15"/>
      <c r="F34" s="15"/>
      <c r="G34" s="16"/>
      <c r="H34" s="15"/>
      <c r="I34" s="15"/>
      <c r="J34" s="16"/>
      <c r="K34" s="15"/>
      <c r="L34" s="15"/>
      <c r="M34" s="16"/>
      <c r="N34" s="15"/>
      <c r="O34" s="15"/>
      <c r="P34" s="16"/>
      <c r="Q34" s="15"/>
      <c r="R34" s="15"/>
      <c r="S34" s="16"/>
      <c r="T34" s="15"/>
      <c r="U34" s="15"/>
      <c r="V34" s="16"/>
    </row>
    <row r="35" customFormat="false" ht="15" hidden="false" customHeight="true" outlineLevel="0" collapsed="false">
      <c r="A35" s="12" t="n">
        <v>33</v>
      </c>
      <c r="B35" s="14"/>
      <c r="C35" s="14"/>
      <c r="D35" s="14"/>
      <c r="E35" s="15"/>
      <c r="F35" s="15"/>
      <c r="G35" s="16"/>
      <c r="H35" s="15"/>
      <c r="I35" s="15"/>
      <c r="J35" s="16"/>
      <c r="K35" s="15"/>
      <c r="L35" s="15"/>
      <c r="M35" s="16"/>
      <c r="N35" s="15"/>
      <c r="O35" s="15"/>
      <c r="P35" s="16"/>
      <c r="Q35" s="15"/>
      <c r="R35" s="15"/>
      <c r="S35" s="16"/>
      <c r="T35" s="15"/>
      <c r="U35" s="15"/>
      <c r="V35" s="16"/>
    </row>
    <row r="36" customFormat="false" ht="15" hidden="false" customHeight="true" outlineLevel="0" collapsed="false">
      <c r="A36" s="12" t="n">
        <v>34</v>
      </c>
      <c r="B36" s="14"/>
      <c r="C36" s="14"/>
      <c r="D36" s="14"/>
      <c r="E36" s="15"/>
      <c r="F36" s="15"/>
      <c r="G36" s="16"/>
      <c r="H36" s="15"/>
      <c r="I36" s="15"/>
      <c r="J36" s="16"/>
      <c r="K36" s="15"/>
      <c r="L36" s="15"/>
      <c r="M36" s="16"/>
      <c r="N36" s="15"/>
      <c r="O36" s="15"/>
      <c r="P36" s="16"/>
      <c r="Q36" s="15"/>
      <c r="R36" s="15"/>
      <c r="S36" s="16"/>
      <c r="T36" s="15"/>
      <c r="U36" s="15"/>
      <c r="V36" s="16"/>
    </row>
    <row r="37" customFormat="false" ht="15" hidden="false" customHeight="true" outlineLevel="0" collapsed="false">
      <c r="A37" s="12" t="n">
        <v>35</v>
      </c>
      <c r="B37" s="14"/>
      <c r="C37" s="14"/>
      <c r="D37" s="14"/>
      <c r="E37" s="15"/>
      <c r="F37" s="15"/>
      <c r="G37" s="16"/>
      <c r="H37" s="15"/>
      <c r="I37" s="15"/>
      <c r="J37" s="16"/>
      <c r="K37" s="15"/>
      <c r="L37" s="15"/>
      <c r="M37" s="16"/>
      <c r="N37" s="15"/>
      <c r="O37" s="15"/>
      <c r="P37" s="16"/>
      <c r="Q37" s="15"/>
      <c r="R37" s="15"/>
      <c r="S37" s="16"/>
      <c r="T37" s="15"/>
      <c r="U37" s="15"/>
      <c r="V37" s="16"/>
    </row>
  </sheetData>
  <mergeCells count="10">
    <mergeCell ref="A1:A2"/>
    <mergeCell ref="B1:B2"/>
    <mergeCell ref="C1:C2"/>
    <mergeCell ref="D1:D2"/>
    <mergeCell ref="E1:G1"/>
    <mergeCell ref="H1:J1"/>
    <mergeCell ref="K1:M1"/>
    <mergeCell ref="N1:P1"/>
    <mergeCell ref="Q1:S1"/>
    <mergeCell ref="T1:V1"/>
  </mergeCells>
  <conditionalFormatting sqref="E3:E37">
    <cfRule type="colorScale" priority="2">
      <colorScale>
        <cfvo type="num" val="0"/>
        <cfvo type="num" val="2.5"/>
        <cfvo type="num" val="5"/>
        <color rgb="FFF8696B"/>
        <color rgb="FFFFEB84"/>
        <color rgb="FF63BE7B"/>
      </colorScale>
    </cfRule>
  </conditionalFormatting>
  <conditionalFormatting sqref="F3:F37">
    <cfRule type="cellIs" priority="3" operator="equal" aboveAverage="0" equalAverage="0" bottom="0" percent="0" rank="0" text="" dxfId="0">
      <formula>"Y"</formula>
    </cfRule>
    <cfRule type="cellIs" priority="4" operator="equal" aboveAverage="0" equalAverage="0" bottom="0" percent="0" rank="0" text="" dxfId="1">
      <formula>"N"</formula>
    </cfRule>
  </conditionalFormatting>
  <conditionalFormatting sqref="H3:H37">
    <cfRule type="colorScale" priority="5">
      <colorScale>
        <cfvo type="num" val="0"/>
        <cfvo type="num" val="2.5"/>
        <cfvo type="num" val="5"/>
        <color rgb="FFF8696B"/>
        <color rgb="FFFFEB84"/>
        <color rgb="FF63BE7B"/>
      </colorScale>
    </cfRule>
  </conditionalFormatting>
  <conditionalFormatting sqref="I3:I37">
    <cfRule type="cellIs" priority="6" operator="equal" aboveAverage="0" equalAverage="0" bottom="0" percent="0" rank="0" text="" dxfId="0">
      <formula>"Y"</formula>
    </cfRule>
    <cfRule type="cellIs" priority="7" operator="equal" aboveAverage="0" equalAverage="0" bottom="0" percent="0" rank="0" text="" dxfId="1">
      <formula>"N"</formula>
    </cfRule>
  </conditionalFormatting>
  <conditionalFormatting sqref="K3:K37">
    <cfRule type="colorScale" priority="8">
      <colorScale>
        <cfvo type="num" val="0"/>
        <cfvo type="num" val="2.5"/>
        <cfvo type="num" val="5"/>
        <color rgb="FFF8696B"/>
        <color rgb="FFFFEB84"/>
        <color rgb="FF63BE7B"/>
      </colorScale>
    </cfRule>
  </conditionalFormatting>
  <conditionalFormatting sqref="L3:L37">
    <cfRule type="cellIs" priority="9" operator="equal" aboveAverage="0" equalAverage="0" bottom="0" percent="0" rank="0" text="" dxfId="0">
      <formula>"Y"</formula>
    </cfRule>
    <cfRule type="cellIs" priority="10" operator="equal" aboveAverage="0" equalAverage="0" bottom="0" percent="0" rank="0" text="" dxfId="1">
      <formula>"N"</formula>
    </cfRule>
  </conditionalFormatting>
  <conditionalFormatting sqref="N3:N37">
    <cfRule type="colorScale" priority="11">
      <colorScale>
        <cfvo type="num" val="0"/>
        <cfvo type="num" val="2.5"/>
        <cfvo type="num" val="5"/>
        <color rgb="FFF8696B"/>
        <color rgb="FFFFEB84"/>
        <color rgb="FF63BE7B"/>
      </colorScale>
    </cfRule>
  </conditionalFormatting>
  <conditionalFormatting sqref="O3:O37">
    <cfRule type="cellIs" priority="12" operator="equal" aboveAverage="0" equalAverage="0" bottom="0" percent="0" rank="0" text="" dxfId="0">
      <formula>"Y"</formula>
    </cfRule>
    <cfRule type="cellIs" priority="13" operator="equal" aboveAverage="0" equalAverage="0" bottom="0" percent="0" rank="0" text="" dxfId="1">
      <formula>"N"</formula>
    </cfRule>
  </conditionalFormatting>
  <conditionalFormatting sqref="Q3:Q37">
    <cfRule type="colorScale" priority="14">
      <colorScale>
        <cfvo type="num" val="0"/>
        <cfvo type="num" val="2.5"/>
        <cfvo type="num" val="5"/>
        <color rgb="FFF8696B"/>
        <color rgb="FFFFEB84"/>
        <color rgb="FF63BE7B"/>
      </colorScale>
    </cfRule>
  </conditionalFormatting>
  <conditionalFormatting sqref="R3:R37">
    <cfRule type="cellIs" priority="15" operator="equal" aboveAverage="0" equalAverage="0" bottom="0" percent="0" rank="0" text="" dxfId="0">
      <formula>"Y"</formula>
    </cfRule>
    <cfRule type="cellIs" priority="16" operator="equal" aboveAverage="0" equalAverage="0" bottom="0" percent="0" rank="0" text="" dxfId="1">
      <formula>"N"</formula>
    </cfRule>
  </conditionalFormatting>
  <conditionalFormatting sqref="T3:T37">
    <cfRule type="colorScale" priority="17">
      <colorScale>
        <cfvo type="num" val="0"/>
        <cfvo type="num" val="2.5"/>
        <cfvo type="num" val="5"/>
        <color rgb="FFF8696B"/>
        <color rgb="FFFFEB84"/>
        <color rgb="FF63BE7B"/>
      </colorScale>
    </cfRule>
  </conditionalFormatting>
  <conditionalFormatting sqref="U3:U37">
    <cfRule type="cellIs" priority="18" operator="equal" aboveAverage="0" equalAverage="0" bottom="0" percent="0" rank="0" text="" dxfId="0">
      <formula>"Y"</formula>
    </cfRule>
    <cfRule type="cellIs" priority="19" operator="equal" aboveAverage="0" equalAverage="0" bottom="0" percent="0" rank="0" text="" dxfId="1">
      <formula>"N"</formula>
    </cfRule>
  </conditionalFormatting>
  <dataValidations count="3">
    <dataValidation allowBlank="true" errorStyle="stop" operator="between" showDropDown="false" showErrorMessage="false" showInputMessage="false" sqref="B3:B37" type="list">
      <formula1>"Life questions,Paraphrase,Topic,Exact names &amp; phrases,Speaker or date,Edge cases"</formula1>
      <formula2>0</formula2>
    </dataValidation>
    <dataValidation allowBlank="true" error="Enter a whole number from 0 to 5." errorStyle="stop" errorTitle="0 to 5" operator="between" showDropDown="false" showErrorMessage="true" showInputMessage="false" sqref="E3:E37 H3:H37 K3:K37 N3:N37 Q3:Q37 T3:T37" type="whole">
      <formula1>0</formula1>
      <formula2>5</formula2>
    </dataValidation>
    <dataValidation allowBlank="true" errorStyle="stop" operator="between" showDropDown="false" showErrorMessage="false" showInputMessage="false" sqref="F3:F37 I3:I37 L3:L37 O3:O37 R3:R37 U3:U37" type="list">
      <formula1>"Y,N"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7" min="2" style="1" width="16"/>
  </cols>
  <sheetData>
    <row r="1" customFormat="false" ht="19.5" hidden="false" customHeight="true" outlineLevel="0" collapsed="false">
      <c r="A1" s="17" t="s">
        <v>193</v>
      </c>
    </row>
    <row r="2" customFormat="false" ht="15" hidden="false" customHeight="true" outlineLevel="0" collapsed="false">
      <c r="A2" s="18" t="s">
        <v>194</v>
      </c>
    </row>
    <row r="4" customFormat="false" ht="15" hidden="false" customHeight="true" outlineLevel="0" collapsed="false">
      <c r="A4" s="19" t="s">
        <v>195</v>
      </c>
    </row>
    <row r="5" customFormat="false" ht="31.5" hidden="false" customHeight="true" outlineLevel="0" collapsed="false">
      <c r="A5" s="20" t="s">
        <v>13</v>
      </c>
      <c r="B5" s="21" t="str">
        <f aca="false">'Test Log'!E1</f>
        <v>Baseline (sentences)</v>
      </c>
      <c r="C5" s="21" t="str">
        <f aca="false">'Test Log'!H1</f>
        <v>1. Group by talk</v>
      </c>
      <c r="D5" s="21" t="str">
        <f aca="false">'Test Log'!K1</f>
        <v>2. Better chunks + headers</v>
      </c>
      <c r="E5" s="21" t="str">
        <f aca="false">'Test Log'!N1</f>
        <v>3. Talk summaries</v>
      </c>
      <c r="F5" s="21" t="str">
        <f aca="false">'Test Log'!Q1</f>
        <v>4. Hybrid search (RRF)</v>
      </c>
      <c r="G5" s="21" t="str">
        <f aca="false">'Test Log'!T1</f>
        <v>5. Reranker</v>
      </c>
    </row>
    <row r="6" customFormat="false" ht="15" hidden="false" customHeight="true" outlineLevel="0" collapsed="false">
      <c r="A6" s="22" t="s">
        <v>19</v>
      </c>
      <c r="B6" s="23" t="n">
        <f aca="false">IFERROR(AVERAGEIFS('Test Log'!$E$3:$E$37,'Test Log'!$B$3:$B$37,$A6),"")</f>
        <v>2.9</v>
      </c>
      <c r="C6" s="23" t="n">
        <f aca="false">IFERROR(AVERAGEIFS('Test Log'!$H$3:$H$37,'Test Log'!$B$3:$B$37,$A6),"")</f>
        <v>2.7</v>
      </c>
      <c r="D6" s="23" t="n">
        <f aca="false">IFERROR(AVERAGEIFS('Test Log'!$K$3:$K$37,'Test Log'!$B$3:$B$37,$A6),"")</f>
        <v>3.1</v>
      </c>
      <c r="E6" s="23" t="str">
        <f aca="false">IFERROR(AVERAGEIFS('Test Log'!$N$3:$N$37,'Test Log'!$B$3:$B$37,$A6),"")</f>
        <v/>
      </c>
      <c r="F6" s="23" t="n">
        <f aca="false">IFERROR(AVERAGEIFS('Test Log'!$Q$3:$Q$37,'Test Log'!$B$3:$B$37,$A6),"")</f>
        <v>2.9</v>
      </c>
      <c r="G6" s="23" t="str">
        <f aca="false">IFERROR(AVERAGEIFS('Test Log'!$T$3:$T$37,'Test Log'!$B$3:$B$37,$A6),"")</f>
        <v/>
      </c>
    </row>
    <row r="7" customFormat="false" ht="15" hidden="false" customHeight="true" outlineLevel="0" collapsed="false">
      <c r="A7" s="22" t="s">
        <v>91</v>
      </c>
      <c r="B7" s="23" t="n">
        <f aca="false">IFERROR(AVERAGEIFS('Test Log'!$E$3:$E$37,'Test Log'!$B$3:$B$37,$A7),"")</f>
        <v>3.25</v>
      </c>
      <c r="C7" s="23" t="n">
        <f aca="false">IFERROR(AVERAGEIFS('Test Log'!$H$3:$H$37,'Test Log'!$B$3:$B$37,$A7),"")</f>
        <v>3</v>
      </c>
      <c r="D7" s="23" t="n">
        <f aca="false">IFERROR(AVERAGEIFS('Test Log'!$K$3:$K$37,'Test Log'!$B$3:$B$37,$A7),"")</f>
        <v>3</v>
      </c>
      <c r="E7" s="23" t="str">
        <f aca="false">IFERROR(AVERAGEIFS('Test Log'!$N$3:$N$37,'Test Log'!$B$3:$B$37,$A7),"")</f>
        <v/>
      </c>
      <c r="F7" s="23" t="n">
        <f aca="false">IFERROR(AVERAGEIFS('Test Log'!$Q$3:$Q$37,'Test Log'!$B$3:$B$37,$A7),"")</f>
        <v>3</v>
      </c>
      <c r="G7" s="23" t="str">
        <f aca="false">IFERROR(AVERAGEIFS('Test Log'!$T$3:$T$37,'Test Log'!$B$3:$B$37,$A7),"")</f>
        <v/>
      </c>
    </row>
    <row r="8" customFormat="false" ht="15" hidden="false" customHeight="true" outlineLevel="0" collapsed="false">
      <c r="A8" s="22" t="s">
        <v>115</v>
      </c>
      <c r="B8" s="23" t="n">
        <f aca="false">IFERROR(AVERAGEIFS('Test Log'!$E$3:$E$37,'Test Log'!$B$3:$B$37,$A8),"")</f>
        <v>3.25</v>
      </c>
      <c r="C8" s="23" t="n">
        <f aca="false">IFERROR(AVERAGEIFS('Test Log'!$H$3:$H$37,'Test Log'!$B$3:$B$37,$A8),"")</f>
        <v>3.5</v>
      </c>
      <c r="D8" s="23" t="n">
        <f aca="false">IFERROR(AVERAGEIFS('Test Log'!$K$3:$K$37,'Test Log'!$B$3:$B$37,$A8),"")</f>
        <v>4.5</v>
      </c>
      <c r="E8" s="23" t="str">
        <f aca="false">IFERROR(AVERAGEIFS('Test Log'!$N$3:$N$37,'Test Log'!$B$3:$B$37,$A8),"")</f>
        <v/>
      </c>
      <c r="F8" s="23" t="n">
        <f aca="false">IFERROR(AVERAGEIFS('Test Log'!$Q$3:$Q$37,'Test Log'!$B$3:$B$37,$A8),"")</f>
        <v>5</v>
      </c>
      <c r="G8" s="23" t="str">
        <f aca="false">IFERROR(AVERAGEIFS('Test Log'!$T$3:$T$37,'Test Log'!$B$3:$B$37,$A8),"")</f>
        <v/>
      </c>
    </row>
    <row r="9" customFormat="false" ht="15" hidden="false" customHeight="true" outlineLevel="0" collapsed="false">
      <c r="A9" s="22" t="s">
        <v>140</v>
      </c>
      <c r="B9" s="23" t="n">
        <f aca="false">IFERROR(AVERAGEIFS('Test Log'!$E$3:$E$37,'Test Log'!$B$3:$B$37,$A9),"")</f>
        <v>0.75</v>
      </c>
      <c r="C9" s="23" t="n">
        <f aca="false">IFERROR(AVERAGEIFS('Test Log'!$H$3:$H$37,'Test Log'!$B$3:$B$37,$A9),"")</f>
        <v>0.75</v>
      </c>
      <c r="D9" s="23" t="n">
        <f aca="false">IFERROR(AVERAGEIFS('Test Log'!$K$3:$K$37,'Test Log'!$B$3:$B$37,$A9),"")</f>
        <v>0.75</v>
      </c>
      <c r="E9" s="23" t="str">
        <f aca="false">IFERROR(AVERAGEIFS('Test Log'!$N$3:$N$37,'Test Log'!$B$3:$B$37,$A9),"")</f>
        <v/>
      </c>
      <c r="F9" s="23" t="n">
        <f aca="false">IFERROR(AVERAGEIFS('Test Log'!$Q$3:$Q$37,'Test Log'!$B$3:$B$37,$A9),"")</f>
        <v>3</v>
      </c>
      <c r="G9" s="23" t="str">
        <f aca="false">IFERROR(AVERAGEIFS('Test Log'!$T$3:$T$37,'Test Log'!$B$3:$B$37,$A9),"")</f>
        <v/>
      </c>
    </row>
    <row r="10" customFormat="false" ht="15" hidden="false" customHeight="true" outlineLevel="0" collapsed="false">
      <c r="A10" s="22" t="s">
        <v>163</v>
      </c>
      <c r="B10" s="23" t="n">
        <f aca="false">IFERROR(AVERAGEIFS('Test Log'!$E$3:$E$37,'Test Log'!$B$3:$B$37,$A10),"")</f>
        <v>1.5</v>
      </c>
      <c r="C10" s="23" t="n">
        <f aca="false">IFERROR(AVERAGEIFS('Test Log'!$H$3:$H$37,'Test Log'!$B$3:$B$37,$A10),"")</f>
        <v>1.5</v>
      </c>
      <c r="D10" s="23" t="n">
        <f aca="false">IFERROR(AVERAGEIFS('Test Log'!$K$3:$K$37,'Test Log'!$B$3:$B$37,$A10),"")</f>
        <v>2</v>
      </c>
      <c r="E10" s="23" t="str">
        <f aca="false">IFERROR(AVERAGEIFS('Test Log'!$N$3:$N$37,'Test Log'!$B$3:$B$37,$A10),"")</f>
        <v/>
      </c>
      <c r="F10" s="23" t="n">
        <f aca="false">IFERROR(AVERAGEIFS('Test Log'!$Q$3:$Q$37,'Test Log'!$B$3:$B$37,$A10),"")</f>
        <v>3</v>
      </c>
      <c r="G10" s="23" t="str">
        <f aca="false">IFERROR(AVERAGEIFS('Test Log'!$T$3:$T$37,'Test Log'!$B$3:$B$37,$A10),"")</f>
        <v/>
      </c>
    </row>
    <row r="11" customFormat="false" ht="15" hidden="false" customHeight="true" outlineLevel="0" collapsed="false">
      <c r="A11" s="22" t="s">
        <v>176</v>
      </c>
      <c r="B11" s="23" t="n">
        <f aca="false">IFERROR(AVERAGEIFS('Test Log'!$E$3:$E$37,'Test Log'!$B$3:$B$37,$A11),"")</f>
        <v>2.33333333333333</v>
      </c>
      <c r="C11" s="23" t="n">
        <f aca="false">IFERROR(AVERAGEIFS('Test Log'!$H$3:$H$37,'Test Log'!$B$3:$B$37,$A11),"")</f>
        <v>2.66666666666667</v>
      </c>
      <c r="D11" s="23" t="n">
        <f aca="false">IFERROR(AVERAGEIFS('Test Log'!$K$3:$K$37,'Test Log'!$B$3:$B$37,$A11),"")</f>
        <v>1.66666666666667</v>
      </c>
      <c r="E11" s="23" t="str">
        <f aca="false">IFERROR(AVERAGEIFS('Test Log'!$N$3:$N$37,'Test Log'!$B$3:$B$37,$A11),"")</f>
        <v/>
      </c>
      <c r="F11" s="23" t="n">
        <f aca="false">IFERROR(AVERAGEIFS('Test Log'!$Q$3:$Q$37,'Test Log'!$B$3:$B$37,$A11),"")</f>
        <v>2.33333333333333</v>
      </c>
      <c r="G11" s="23" t="str">
        <f aca="false">IFERROR(AVERAGEIFS('Test Log'!$T$3:$T$37,'Test Log'!$B$3:$B$37,$A11),"")</f>
        <v/>
      </c>
    </row>
    <row r="12" customFormat="false" ht="15" hidden="false" customHeight="true" outlineLevel="0" collapsed="false">
      <c r="A12" s="24" t="s">
        <v>196</v>
      </c>
      <c r="B12" s="25" t="n">
        <f aca="false">IFERROR(AVERAGE('Test Log'!$E$3:$E$37),"")</f>
        <v>2.51851851851852</v>
      </c>
      <c r="C12" s="25" t="n">
        <f aca="false">IFERROR(AVERAGE('Test Log'!$H$3:$H$37),"")</f>
        <v>2.48148148148148</v>
      </c>
      <c r="D12" s="25" t="n">
        <f aca="false">IFERROR(AVERAGE('Test Log'!$K$3:$K$37),"")</f>
        <v>2.7037037037037</v>
      </c>
      <c r="E12" s="25" t="str">
        <f aca="false">IFERROR(AVERAGE('Test Log'!$N$3:$N$37),"")</f>
        <v/>
      </c>
      <c r="F12" s="25" t="n">
        <f aca="false">IFERROR(AVERAGE('Test Log'!$Q$3:$Q$37),"")</f>
        <v>3.18518518518519</v>
      </c>
      <c r="G12" s="25" t="str">
        <f aca="false">IFERROR(AVERAGE('Test Log'!$T$3:$T$37),"")</f>
        <v/>
      </c>
    </row>
    <row r="14" customFormat="false" ht="15" hidden="false" customHeight="true" outlineLevel="0" collapsed="false">
      <c r="A14" s="19" t="s">
        <v>197</v>
      </c>
    </row>
    <row r="15" customFormat="false" ht="31.5" hidden="false" customHeight="true" outlineLevel="0" collapsed="false">
      <c r="A15" s="20" t="s">
        <v>13</v>
      </c>
      <c r="B15" s="21" t="str">
        <f aca="false">'Test Log'!E1</f>
        <v>Baseline (sentences)</v>
      </c>
      <c r="C15" s="21" t="str">
        <f aca="false">'Test Log'!H1</f>
        <v>1. Group by talk</v>
      </c>
      <c r="D15" s="21" t="str">
        <f aca="false">'Test Log'!K1</f>
        <v>2. Better chunks + headers</v>
      </c>
      <c r="E15" s="21" t="str">
        <f aca="false">'Test Log'!N1</f>
        <v>3. Talk summaries</v>
      </c>
      <c r="F15" s="21" t="str">
        <f aca="false">'Test Log'!Q1</f>
        <v>4. Hybrid search (RRF)</v>
      </c>
      <c r="G15" s="21" t="str">
        <f aca="false">'Test Log'!T1</f>
        <v>5. Reranker</v>
      </c>
    </row>
    <row r="16" customFormat="false" ht="15" hidden="false" customHeight="true" outlineLevel="0" collapsed="false">
      <c r="A16" s="22" t="s">
        <v>19</v>
      </c>
      <c r="B16" s="26" t="n">
        <f aca="false">IFERROR(COUNTIFS('Test Log'!$B$3:$B$37,$A16,'Test Log'!$F$3:$F$37,"Y")/(COUNTIFS('Test Log'!$B$3:$B$37,$A16,'Test Log'!$F$3:$F$37,"Y")+COUNTIFS('Test Log'!$B$3:$B$37,$A16,'Test Log'!$F$3:$F$37,"N")),"")</f>
        <v>0.555555555555556</v>
      </c>
      <c r="C16" s="26" t="n">
        <f aca="false">IFERROR(COUNTIFS('Test Log'!$B$3:$B$37,$A16,'Test Log'!$I$3:$I$37,"Y")/(COUNTIFS('Test Log'!$B$3:$B$37,$A16,'Test Log'!$I$3:$I$37,"Y")+COUNTIFS('Test Log'!$B$3:$B$37,$A16,'Test Log'!$I$3:$I$37,"N")),"")</f>
        <v>0.555555555555556</v>
      </c>
      <c r="D16" s="26" t="n">
        <f aca="false">IFERROR(COUNTIFS('Test Log'!$B$3:$B$37,$A16,'Test Log'!$L$3:$L$37,"Y")/(COUNTIFS('Test Log'!$B$3:$B$37,$A16,'Test Log'!$L$3:$L$37,"Y")+COUNTIFS('Test Log'!$B$3:$B$37,$A16,'Test Log'!$L$3:$L$37,"N")),"")</f>
        <v>0.444444444444444</v>
      </c>
      <c r="E16" s="26" t="str">
        <f aca="false">IFERROR(COUNTIFS('Test Log'!$B$3:$B$37,$A16,'Test Log'!$O$3:$O$37,"Y")/(COUNTIFS('Test Log'!$B$3:$B$37,$A16,'Test Log'!$O$3:$O$37,"Y")+COUNTIFS('Test Log'!$B$3:$B$37,$A16,'Test Log'!$O$3:$O$37,"N")),"")</f>
        <v/>
      </c>
      <c r="F16" s="26" t="n">
        <f aca="false">IFERROR(COUNTIFS('Test Log'!$B$3:$B$37,$A16,'Test Log'!$R$3:$R$37,"Y")/(COUNTIFS('Test Log'!$B$3:$B$37,$A16,'Test Log'!$R$3:$R$37,"Y")+COUNTIFS('Test Log'!$B$3:$B$37,$A16,'Test Log'!$R$3:$R$37,"N")),"")</f>
        <v>0.333333333333333</v>
      </c>
      <c r="G16" s="26" t="str">
        <f aca="false">IFERROR(COUNTIFS('Test Log'!$B$3:$B$37,$A16,'Test Log'!$U$3:$U$37,"Y")/(COUNTIFS('Test Log'!$B$3:$B$37,$A16,'Test Log'!$U$3:$U$37,"Y")+COUNTIFS('Test Log'!$B$3:$B$37,$A16,'Test Log'!$U$3:$U$37,"N")),"")</f>
        <v/>
      </c>
    </row>
    <row r="17" customFormat="false" ht="15" hidden="false" customHeight="true" outlineLevel="0" collapsed="false">
      <c r="A17" s="22" t="s">
        <v>91</v>
      </c>
      <c r="B17" s="26" t="n">
        <f aca="false">IFERROR(COUNTIFS('Test Log'!$B$3:$B$37,$A17,'Test Log'!$F$3:$F$37,"Y")/(COUNTIFS('Test Log'!$B$3:$B$37,$A17,'Test Log'!$F$3:$F$37,"Y")+COUNTIFS('Test Log'!$B$3:$B$37,$A17,'Test Log'!$F$3:$F$37,"N")),"")</f>
        <v>0.75</v>
      </c>
      <c r="C17" s="26" t="n">
        <f aca="false">IFERROR(COUNTIFS('Test Log'!$B$3:$B$37,$A17,'Test Log'!$I$3:$I$37,"Y")/(COUNTIFS('Test Log'!$B$3:$B$37,$A17,'Test Log'!$I$3:$I$37,"Y")+COUNTIFS('Test Log'!$B$3:$B$37,$A17,'Test Log'!$I$3:$I$37,"N")),"")</f>
        <v>0.75</v>
      </c>
      <c r="D17" s="26" t="n">
        <f aca="false">IFERROR(COUNTIFS('Test Log'!$B$3:$B$37,$A17,'Test Log'!$L$3:$L$37,"Y")/(COUNTIFS('Test Log'!$B$3:$B$37,$A17,'Test Log'!$L$3:$L$37,"Y")+COUNTIFS('Test Log'!$B$3:$B$37,$A17,'Test Log'!$L$3:$L$37,"N")),"")</f>
        <v>0</v>
      </c>
      <c r="E17" s="26" t="str">
        <f aca="false">IFERROR(COUNTIFS('Test Log'!$B$3:$B$37,$A17,'Test Log'!$O$3:$O$37,"Y")/(COUNTIFS('Test Log'!$B$3:$B$37,$A17,'Test Log'!$O$3:$O$37,"Y")+COUNTIFS('Test Log'!$B$3:$B$37,$A17,'Test Log'!$O$3:$O$37,"N")),"")</f>
        <v/>
      </c>
      <c r="F17" s="26" t="n">
        <f aca="false">IFERROR(COUNTIFS('Test Log'!$B$3:$B$37,$A17,'Test Log'!$R$3:$R$37,"Y")/(COUNTIFS('Test Log'!$B$3:$B$37,$A17,'Test Log'!$R$3:$R$37,"Y")+COUNTIFS('Test Log'!$B$3:$B$37,$A17,'Test Log'!$R$3:$R$37,"N")),"")</f>
        <v>0.25</v>
      </c>
      <c r="G17" s="26" t="str">
        <f aca="false">IFERROR(COUNTIFS('Test Log'!$B$3:$B$37,$A17,'Test Log'!$U$3:$U$37,"Y")/(COUNTIFS('Test Log'!$B$3:$B$37,$A17,'Test Log'!$U$3:$U$37,"Y")+COUNTIFS('Test Log'!$B$3:$B$37,$A17,'Test Log'!$U$3:$U$37,"N")),"")</f>
        <v/>
      </c>
    </row>
    <row r="18" customFormat="false" ht="15" hidden="false" customHeight="true" outlineLevel="0" collapsed="false">
      <c r="A18" s="22" t="s">
        <v>115</v>
      </c>
      <c r="B18" s="26" t="n">
        <f aca="false">IFERROR(COUNTIFS('Test Log'!$B$3:$B$37,$A18,'Test Log'!$F$3:$F$37,"Y")/(COUNTIFS('Test Log'!$B$3:$B$37,$A18,'Test Log'!$F$3:$F$37,"Y")+COUNTIFS('Test Log'!$B$3:$B$37,$A18,'Test Log'!$F$3:$F$37,"N")),"")</f>
        <v>0.75</v>
      </c>
      <c r="C18" s="26" t="n">
        <f aca="false">IFERROR(COUNTIFS('Test Log'!$B$3:$B$37,$A18,'Test Log'!$I$3:$I$37,"Y")/(COUNTIFS('Test Log'!$B$3:$B$37,$A18,'Test Log'!$I$3:$I$37,"Y")+COUNTIFS('Test Log'!$B$3:$B$37,$A18,'Test Log'!$I$3:$I$37,"N")),"")</f>
        <v>0.75</v>
      </c>
      <c r="D18" s="26" t="n">
        <f aca="false">IFERROR(COUNTIFS('Test Log'!$B$3:$B$37,$A18,'Test Log'!$L$3:$L$37,"Y")/(COUNTIFS('Test Log'!$B$3:$B$37,$A18,'Test Log'!$L$3:$L$37,"Y")+COUNTIFS('Test Log'!$B$3:$B$37,$A18,'Test Log'!$L$3:$L$37,"N")),"")</f>
        <v>1</v>
      </c>
      <c r="E18" s="26" t="str">
        <f aca="false">IFERROR(COUNTIFS('Test Log'!$B$3:$B$37,$A18,'Test Log'!$O$3:$O$37,"Y")/(COUNTIFS('Test Log'!$B$3:$B$37,$A18,'Test Log'!$O$3:$O$37,"Y")+COUNTIFS('Test Log'!$B$3:$B$37,$A18,'Test Log'!$O$3:$O$37,"N")),"")</f>
        <v/>
      </c>
      <c r="F18" s="26" t="n">
        <f aca="false">IFERROR(COUNTIFS('Test Log'!$B$3:$B$37,$A18,'Test Log'!$R$3:$R$37,"Y")/(COUNTIFS('Test Log'!$B$3:$B$37,$A18,'Test Log'!$R$3:$R$37,"Y")+COUNTIFS('Test Log'!$B$3:$B$37,$A18,'Test Log'!$R$3:$R$37,"N")),"")</f>
        <v>0.75</v>
      </c>
      <c r="G18" s="26" t="str">
        <f aca="false">IFERROR(COUNTIFS('Test Log'!$B$3:$B$37,$A18,'Test Log'!$U$3:$U$37,"Y")/(COUNTIFS('Test Log'!$B$3:$B$37,$A18,'Test Log'!$U$3:$U$37,"Y")+COUNTIFS('Test Log'!$B$3:$B$37,$A18,'Test Log'!$U$3:$U$37,"N")),"")</f>
        <v/>
      </c>
    </row>
    <row r="19" customFormat="false" ht="15" hidden="false" customHeight="true" outlineLevel="0" collapsed="false">
      <c r="A19" s="22" t="s">
        <v>140</v>
      </c>
      <c r="B19" s="26" t="n">
        <f aca="false">IFERROR(COUNTIFS('Test Log'!$B$3:$B$37,$A19,'Test Log'!$F$3:$F$37,"Y")/(COUNTIFS('Test Log'!$B$3:$B$37,$A19,'Test Log'!$F$3:$F$37,"Y")+COUNTIFS('Test Log'!$B$3:$B$37,$A19,'Test Log'!$F$3:$F$37,"N")),"")</f>
        <v>0.666666666666667</v>
      </c>
      <c r="C19" s="26" t="n">
        <f aca="false">IFERROR(COUNTIFS('Test Log'!$B$3:$B$37,$A19,'Test Log'!$I$3:$I$37,"Y")/(COUNTIFS('Test Log'!$B$3:$B$37,$A19,'Test Log'!$I$3:$I$37,"Y")+COUNTIFS('Test Log'!$B$3:$B$37,$A19,'Test Log'!$I$3:$I$37,"N")),"")</f>
        <v>0.666666666666667</v>
      </c>
      <c r="D19" s="26" t="n">
        <f aca="false">IFERROR(COUNTIFS('Test Log'!$B$3:$B$37,$A19,'Test Log'!$L$3:$L$37,"Y")/(COUNTIFS('Test Log'!$B$3:$B$37,$A19,'Test Log'!$L$3:$L$37,"Y")+COUNTIFS('Test Log'!$B$3:$B$37,$A19,'Test Log'!$L$3:$L$37,"N")),"")</f>
        <v>0</v>
      </c>
      <c r="E19" s="26" t="str">
        <f aca="false">IFERROR(COUNTIFS('Test Log'!$B$3:$B$37,$A19,'Test Log'!$O$3:$O$37,"Y")/(COUNTIFS('Test Log'!$B$3:$B$37,$A19,'Test Log'!$O$3:$O$37,"Y")+COUNTIFS('Test Log'!$B$3:$B$37,$A19,'Test Log'!$O$3:$O$37,"N")),"")</f>
        <v/>
      </c>
      <c r="F19" s="26" t="n">
        <f aca="false">IFERROR(COUNTIFS('Test Log'!$B$3:$B$37,$A19,'Test Log'!$R$3:$R$37,"Y")/(COUNTIFS('Test Log'!$B$3:$B$37,$A19,'Test Log'!$R$3:$R$37,"Y")+COUNTIFS('Test Log'!$B$3:$B$37,$A19,'Test Log'!$R$3:$R$37,"N")),"")</f>
        <v>0.666666666666667</v>
      </c>
      <c r="G19" s="26" t="str">
        <f aca="false">IFERROR(COUNTIFS('Test Log'!$B$3:$B$37,$A19,'Test Log'!$U$3:$U$37,"Y")/(COUNTIFS('Test Log'!$B$3:$B$37,$A19,'Test Log'!$U$3:$U$37,"Y")+COUNTIFS('Test Log'!$B$3:$B$37,$A19,'Test Log'!$U$3:$U$37,"N")),"")</f>
        <v/>
      </c>
    </row>
    <row r="20" customFormat="false" ht="15" hidden="false" customHeight="true" outlineLevel="0" collapsed="false">
      <c r="A20" s="22" t="s">
        <v>163</v>
      </c>
      <c r="B20" s="26" t="n">
        <f aca="false">IFERROR(COUNTIFS('Test Log'!$B$3:$B$37,$A20,'Test Log'!$F$3:$F$37,"Y")/(COUNTIFS('Test Log'!$B$3:$B$37,$A20,'Test Log'!$F$3:$F$37,"Y")+COUNTIFS('Test Log'!$B$3:$B$37,$A20,'Test Log'!$F$3:$F$37,"N")),"")</f>
        <v>0</v>
      </c>
      <c r="C20" s="26" t="n">
        <f aca="false">IFERROR(COUNTIFS('Test Log'!$B$3:$B$37,$A20,'Test Log'!$I$3:$I$37,"Y")/(COUNTIFS('Test Log'!$B$3:$B$37,$A20,'Test Log'!$I$3:$I$37,"Y")+COUNTIFS('Test Log'!$B$3:$B$37,$A20,'Test Log'!$I$3:$I$37,"N")),"")</f>
        <v>0</v>
      </c>
      <c r="D20" s="26" t="n">
        <f aca="false">IFERROR(COUNTIFS('Test Log'!$B$3:$B$37,$A20,'Test Log'!$L$3:$L$37,"Y")/(COUNTIFS('Test Log'!$B$3:$B$37,$A20,'Test Log'!$L$3:$L$37,"Y")+COUNTIFS('Test Log'!$B$3:$B$37,$A20,'Test Log'!$L$3:$L$37,"N")),"")</f>
        <v>0.5</v>
      </c>
      <c r="E20" s="26" t="str">
        <f aca="false">IFERROR(COUNTIFS('Test Log'!$B$3:$B$37,$A20,'Test Log'!$O$3:$O$37,"Y")/(COUNTIFS('Test Log'!$B$3:$B$37,$A20,'Test Log'!$O$3:$O$37,"Y")+COUNTIFS('Test Log'!$B$3:$B$37,$A20,'Test Log'!$O$3:$O$37,"N")),"")</f>
        <v/>
      </c>
      <c r="F20" s="26" t="n">
        <f aca="false">IFERROR(COUNTIFS('Test Log'!$B$3:$B$37,$A20,'Test Log'!$R$3:$R$37,"Y")/(COUNTIFS('Test Log'!$B$3:$B$37,$A20,'Test Log'!$R$3:$R$37,"Y")+COUNTIFS('Test Log'!$B$3:$B$37,$A20,'Test Log'!$R$3:$R$37,"N")),"")</f>
        <v>1</v>
      </c>
      <c r="G20" s="26" t="str">
        <f aca="false">IFERROR(COUNTIFS('Test Log'!$B$3:$B$37,$A20,'Test Log'!$U$3:$U$37,"Y")/(COUNTIFS('Test Log'!$B$3:$B$37,$A20,'Test Log'!$U$3:$U$37,"Y")+COUNTIFS('Test Log'!$B$3:$B$37,$A20,'Test Log'!$U$3:$U$37,"N")),"")</f>
        <v/>
      </c>
    </row>
    <row r="21" customFormat="false" ht="15" hidden="false" customHeight="true" outlineLevel="0" collapsed="false">
      <c r="A21" s="22" t="s">
        <v>176</v>
      </c>
      <c r="B21" s="26" t="n">
        <f aca="false">IFERROR(COUNTIFS('Test Log'!$B$3:$B$37,$A21,'Test Log'!$F$3:$F$37,"Y")/(COUNTIFS('Test Log'!$B$3:$B$37,$A21,'Test Log'!$F$3:$F$37,"Y")+COUNTIFS('Test Log'!$B$3:$B$37,$A21,'Test Log'!$F$3:$F$37,"N")),"")</f>
        <v>1</v>
      </c>
      <c r="C21" s="26" t="n">
        <f aca="false">IFERROR(COUNTIFS('Test Log'!$B$3:$B$37,$A21,'Test Log'!$I$3:$I$37,"Y")/(COUNTIFS('Test Log'!$B$3:$B$37,$A21,'Test Log'!$I$3:$I$37,"Y")+COUNTIFS('Test Log'!$B$3:$B$37,$A21,'Test Log'!$I$3:$I$37,"N")),"")</f>
        <v>1</v>
      </c>
      <c r="D21" s="26" t="n">
        <f aca="false">IFERROR(COUNTIFS('Test Log'!$B$3:$B$37,$A21,'Test Log'!$L$3:$L$37,"Y")/(COUNTIFS('Test Log'!$B$3:$B$37,$A21,'Test Log'!$L$3:$L$37,"Y")+COUNTIFS('Test Log'!$B$3:$B$37,$A21,'Test Log'!$L$3:$L$37,"N")),"")</f>
        <v>1</v>
      </c>
      <c r="E21" s="26" t="str">
        <f aca="false">IFERROR(COUNTIFS('Test Log'!$B$3:$B$37,$A21,'Test Log'!$O$3:$O$37,"Y")/(COUNTIFS('Test Log'!$B$3:$B$37,$A21,'Test Log'!$O$3:$O$37,"Y")+COUNTIFS('Test Log'!$B$3:$B$37,$A21,'Test Log'!$O$3:$O$37,"N")),"")</f>
        <v/>
      </c>
      <c r="F21" s="26" t="n">
        <f aca="false">IFERROR(COUNTIFS('Test Log'!$B$3:$B$37,$A21,'Test Log'!$R$3:$R$37,"Y")/(COUNTIFS('Test Log'!$B$3:$B$37,$A21,'Test Log'!$R$3:$R$37,"Y")+COUNTIFS('Test Log'!$B$3:$B$37,$A21,'Test Log'!$R$3:$R$37,"N")),"")</f>
        <v>1</v>
      </c>
      <c r="G21" s="26" t="str">
        <f aca="false">IFERROR(COUNTIFS('Test Log'!$B$3:$B$37,$A21,'Test Log'!$U$3:$U$37,"Y")/(COUNTIFS('Test Log'!$B$3:$B$37,$A21,'Test Log'!$U$3:$U$37,"Y")+COUNTIFS('Test Log'!$B$3:$B$37,$A21,'Test Log'!$U$3:$U$37,"N")),"")</f>
        <v/>
      </c>
    </row>
    <row r="22" customFormat="false" ht="15" hidden="false" customHeight="true" outlineLevel="0" collapsed="false">
      <c r="A22" s="24" t="s">
        <v>196</v>
      </c>
      <c r="B22" s="27" t="n">
        <f aca="false">IFERROR(COUNTIF('Test Log'!$F$3:$F$37,"Y")/(COUNTIF('Test Log'!$F$3:$F$37,"Y")+COUNTIF('Test Log'!$F$3:$F$37,"N")),"")</f>
        <v>0.608695652173913</v>
      </c>
      <c r="C22" s="27" t="n">
        <f aca="false">IFERROR(COUNTIF('Test Log'!$I$3:$I$37,"Y")/(COUNTIF('Test Log'!$I$3:$I$37,"Y")+COUNTIF('Test Log'!$I$3:$I$37,"N")),"")</f>
        <v>0.608695652173913</v>
      </c>
      <c r="D22" s="27" t="n">
        <f aca="false">IFERROR(COUNTIF('Test Log'!$L$3:$L$37,"Y")/(COUNTIF('Test Log'!$L$3:$L$37,"Y")+COUNTIF('Test Log'!$L$3:$L$37,"N")),"")</f>
        <v>0.434782608695652</v>
      </c>
      <c r="E22" s="27" t="str">
        <f aca="false">IFERROR(COUNTIF('Test Log'!$O$3:$O$37,"Y")/(COUNTIF('Test Log'!$O$3:$O$37,"Y")+COUNTIF('Test Log'!$O$3:$O$37,"N")),"")</f>
        <v/>
      </c>
      <c r="F22" s="27" t="n">
        <f aca="false">IFERROR(COUNTIF('Test Log'!$R$3:$R$37,"Y")/(COUNTIF('Test Log'!$R$3:$R$37,"Y")+COUNTIF('Test Log'!$R$3:$R$37,"N")),"")</f>
        <v>0.521739130434783</v>
      </c>
      <c r="G22" s="27" t="str">
        <f aca="false">IFERROR(COUNTIF('Test Log'!$U$3:$U$37,"Y")/(COUNTIF('Test Log'!$U$3:$U$37,"Y")+COUNTIF('Test Log'!$U$3:$U$37,"N")),"")</f>
        <v/>
      </c>
    </row>
  </sheetData>
  <conditionalFormatting sqref="B6:G12">
    <cfRule type="colorScale" priority="2">
      <colorScale>
        <cfvo type="num" val="0"/>
        <cfvo type="num" val="2.5"/>
        <cfvo type="num" val="5"/>
        <color rgb="FFF8696B"/>
        <color rgb="FFFFEB84"/>
        <color rgb="FF63BE7B"/>
      </colorScale>
    </cfRule>
  </conditionalFormatting>
  <conditionalFormatting sqref="B16:G22">
    <cfRule type="colorScale" priority="3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2026-10-21T18:38:51Z</dcterms:created>
  <dc:creator>openpyxl</dc:creator>
  <dc:description/>
  <dc:language>en-US</dc:language>
  <cp:lastModifiedBy/>
  <dcterms:modified xsi:type="dcterms:W3CDTF">2026-10-21T20:05:56Z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